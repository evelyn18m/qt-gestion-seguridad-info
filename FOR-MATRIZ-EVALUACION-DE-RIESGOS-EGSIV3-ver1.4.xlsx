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defaultThemeVersion="124226"/>
  <mc:AlternateContent xmlns:mc="http://schemas.openxmlformats.org/markup-compatibility/2006">
    <mc:Choice Requires="x15">
      <x15ac:absPath xmlns:x15ac="http://schemas.microsoft.com/office/spreadsheetml/2010/11/ac" url="C:\Users\User\Documents\"/>
    </mc:Choice>
  </mc:AlternateContent>
  <xr:revisionPtr revIDLastSave="0" documentId="8_{DD0F879F-4350-4846-8C1C-CD9393C4BEE6}" xr6:coauthVersionLast="47" xr6:coauthVersionMax="47" xr10:uidLastSave="{00000000-0000-0000-0000-000000000000}"/>
  <bookViews>
    <workbookView xWindow="-120" yWindow="-120" windowWidth="19350" windowHeight="19650" tabRatio="812" xr2:uid="{00000000-000D-0000-FFFF-FFFF00000000}"/>
  </bookViews>
  <sheets>
    <sheet name="Control de cambios" sheetId="5" r:id="rId1"/>
    <sheet name="Tablas de referencia" sheetId="16" r:id="rId2"/>
    <sheet name="Instructivo" sheetId="19" r:id="rId3"/>
    <sheet name="Evaluación de Riesgos" sheetId="18" r:id="rId4"/>
    <sheet name="Opc. Tratamiento Riesgo" sheetId="9" r:id="rId5"/>
    <sheet name="Valoración de Activos" sheetId="14" r:id="rId6"/>
    <sheet name="Análisis de Riesgos" sheetId="20" r:id="rId7"/>
    <sheet name="Catálogo Amenazas" sheetId="22" r:id="rId8"/>
    <sheet name="Catálogo Vulnerabilidades" sheetId="23" r:id="rId9"/>
  </sheets>
  <definedNames>
    <definedName name="_xlnm._FilterDatabase" localSheetId="6" hidden="1">'Análisis de Riesgos'!$N$2:$N$15</definedName>
    <definedName name="Hardware">'Catálogo Vulnerabilidades'!$C$7:$C$16</definedName>
    <definedName name="Organización">'Catálogo Vulnerabilidades'!$C$71:$C$98</definedName>
    <definedName name="Personal">'Catálogo Vulnerabilidades'!$C$55:$C$62</definedName>
    <definedName name="Red">'Catálogo Vulnerabilidades'!$C$43:$C$52</definedName>
    <definedName name="Sitio">'Catálogo Vulnerabilidades'!$C$65:$C$68</definedName>
    <definedName name="Software">'Catálogo Vulnerabilidades'!$C$19:$C$40</definedName>
    <definedName name="Tipo_Activo">'Valoración de Activos'!$R$8:$R$15</definedName>
    <definedName name="Tipo_Soporte">'Valoración de Activos'!$S$8:$S$15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2" i="20" l="1"/>
  <c r="J23" i="20"/>
  <c r="J24" i="20"/>
  <c r="B15" i="20"/>
  <c r="C15" i="20"/>
  <c r="B16" i="20"/>
  <c r="C16" i="20"/>
  <c r="B17" i="20"/>
  <c r="C17" i="20"/>
  <c r="B18" i="20"/>
  <c r="C18" i="20"/>
  <c r="B19" i="20"/>
  <c r="C19" i="20"/>
  <c r="B20" i="20"/>
  <c r="C20" i="20"/>
  <c r="B21" i="20"/>
  <c r="C21" i="20"/>
  <c r="B22" i="20"/>
  <c r="C22" i="20"/>
  <c r="B23" i="20"/>
  <c r="C23" i="20"/>
  <c r="B24" i="20"/>
  <c r="C24" i="20"/>
  <c r="B25" i="20"/>
  <c r="C25" i="20"/>
  <c r="B26" i="20"/>
  <c r="C26" i="20"/>
  <c r="B27" i="20"/>
  <c r="C27" i="20"/>
  <c r="C14" i="20"/>
  <c r="O31" i="14"/>
  <c r="O32" i="14"/>
  <c r="O27" i="14"/>
  <c r="F25" i="20" s="1"/>
  <c r="J25" i="20" s="1"/>
  <c r="O28" i="14"/>
  <c r="F26" i="20" s="1"/>
  <c r="J26" i="20" s="1"/>
  <c r="O29" i="14"/>
  <c r="F27" i="20" s="1"/>
  <c r="J27" i="20" s="1"/>
  <c r="O30" i="14"/>
  <c r="O16" i="14"/>
  <c r="F14" i="20" s="1"/>
  <c r="J14" i="20" s="1"/>
  <c r="O17" i="14"/>
  <c r="F15" i="20" s="1"/>
  <c r="J15" i="20" s="1"/>
  <c r="O18" i="14"/>
  <c r="F16" i="20" s="1"/>
  <c r="J16" i="20" s="1"/>
  <c r="O19" i="14"/>
  <c r="F17" i="20" s="1"/>
  <c r="J17" i="20" s="1"/>
  <c r="O20" i="14"/>
  <c r="F18" i="20" s="1"/>
  <c r="J18" i="20" s="1"/>
  <c r="O21" i="14"/>
  <c r="F19" i="20" s="1"/>
  <c r="J19" i="20" s="1"/>
  <c r="O22" i="14"/>
  <c r="F20" i="20" s="1"/>
  <c r="J20" i="20" s="1"/>
  <c r="O23" i="14"/>
  <c r="F21" i="20" s="1"/>
  <c r="J21" i="20" s="1"/>
  <c r="O24" i="14"/>
  <c r="F22" i="20" s="1"/>
  <c r="O25" i="14"/>
  <c r="F23" i="20" s="1"/>
  <c r="O26" i="14"/>
  <c r="F24" i="20" s="1"/>
  <c r="B5" i="20" l="1"/>
  <c r="C5" i="20"/>
  <c r="B6" i="20"/>
  <c r="C6" i="20"/>
  <c r="B7" i="20"/>
  <c r="C7" i="20"/>
  <c r="B8" i="20"/>
  <c r="C8" i="20"/>
  <c r="B9" i="20"/>
  <c r="C9" i="20"/>
  <c r="B10" i="20"/>
  <c r="C10" i="20"/>
  <c r="B11" i="20"/>
  <c r="C11" i="20"/>
  <c r="B12" i="20"/>
  <c r="C12" i="20"/>
  <c r="B13" i="20"/>
  <c r="C13" i="20"/>
  <c r="B14" i="20"/>
  <c r="O8" i="14" l="1"/>
  <c r="F6" i="20" s="1"/>
  <c r="J6" i="20" s="1"/>
  <c r="O9" i="14"/>
  <c r="F7" i="20" s="1"/>
  <c r="J7" i="20" s="1"/>
  <c r="O10" i="14"/>
  <c r="F8" i="20" s="1"/>
  <c r="J8" i="20" s="1"/>
  <c r="O11" i="14"/>
  <c r="F9" i="20" s="1"/>
  <c r="J9" i="20" s="1"/>
  <c r="O12" i="14"/>
  <c r="F10" i="20" s="1"/>
  <c r="J10" i="20" s="1"/>
  <c r="O13" i="14"/>
  <c r="F11" i="20" s="1"/>
  <c r="J11" i="20" s="1"/>
  <c r="O14" i="14"/>
  <c r="F12" i="20" s="1"/>
  <c r="J12" i="20" s="1"/>
  <c r="O15" i="14"/>
  <c r="F13" i="20" s="1"/>
  <c r="J13" i="20" s="1"/>
  <c r="O7" i="14"/>
  <c r="F5" i="20" s="1"/>
  <c r="J5" i="20" s="1"/>
  <c r="Q16" i="20" l="1"/>
  <c r="Q25" i="20"/>
  <c r="M12" i="20"/>
  <c r="Q23" i="20"/>
  <c r="M6" i="20"/>
  <c r="Q21" i="20"/>
  <c r="M7" i="20"/>
  <c r="Q17" i="20"/>
  <c r="Q19" i="20"/>
  <c r="Q26" i="20"/>
  <c r="M8" i="20"/>
  <c r="K9" i="20"/>
  <c r="Q24" i="20"/>
  <c r="K10" i="20"/>
  <c r="Q18" i="20"/>
  <c r="Q20" i="20"/>
  <c r="Q22" i="20"/>
  <c r="Q27" i="20"/>
  <c r="M11" i="20"/>
  <c r="Q13" i="20"/>
  <c r="Q14" i="20"/>
  <c r="Q15" i="20"/>
  <c r="Q5" i="20"/>
  <c r="Q10" i="20"/>
  <c r="Q7" i="20"/>
  <c r="Q12" i="20"/>
  <c r="Q6" i="20"/>
  <c r="Q8" i="20"/>
  <c r="Q11" i="20"/>
  <c r="Q9" i="20"/>
  <c r="M5" i="20"/>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M9" i="20" l="1"/>
  <c r="L9" i="20"/>
  <c r="L7" i="20"/>
  <c r="K7" i="20"/>
  <c r="K8" i="20"/>
  <c r="K6" i="20"/>
  <c r="L6" i="20"/>
  <c r="K12" i="20"/>
  <c r="L10" i="20"/>
  <c r="L12" i="20"/>
  <c r="S21" i="20"/>
  <c r="R21" i="20"/>
  <c r="K18" i="20"/>
  <c r="L18" i="20"/>
  <c r="M18" i="20"/>
  <c r="K27" i="20"/>
  <c r="L27" i="20"/>
  <c r="M27" i="20"/>
  <c r="R25" i="20"/>
  <c r="S25" i="20"/>
  <c r="K19" i="20"/>
  <c r="L19" i="20"/>
  <c r="M19" i="20"/>
  <c r="S27" i="20"/>
  <c r="R27" i="20"/>
  <c r="R24" i="20"/>
  <c r="S24" i="20"/>
  <c r="S19" i="20"/>
  <c r="R19" i="20"/>
  <c r="K11" i="20"/>
  <c r="K26" i="20"/>
  <c r="L26" i="20"/>
  <c r="M26" i="20"/>
  <c r="K22" i="20"/>
  <c r="L22" i="20"/>
  <c r="M22" i="20"/>
  <c r="R22" i="20"/>
  <c r="S22" i="20"/>
  <c r="K25" i="20"/>
  <c r="M25" i="20"/>
  <c r="L25" i="20"/>
  <c r="R17" i="20"/>
  <c r="S17" i="20"/>
  <c r="R23" i="20"/>
  <c r="S23" i="20"/>
  <c r="K16" i="20"/>
  <c r="M16" i="20"/>
  <c r="L16" i="20"/>
  <c r="R16" i="20"/>
  <c r="S16" i="20"/>
  <c r="S20" i="20"/>
  <c r="R20" i="20"/>
  <c r="K17" i="20"/>
  <c r="L17" i="20"/>
  <c r="M17" i="20"/>
  <c r="K23" i="20"/>
  <c r="M23" i="20"/>
  <c r="L23" i="20"/>
  <c r="M10" i="20"/>
  <c r="S26" i="20"/>
  <c r="R26" i="20"/>
  <c r="M14" i="20"/>
  <c r="L14" i="20"/>
  <c r="K14" i="20"/>
  <c r="L11" i="20"/>
  <c r="L8" i="20"/>
  <c r="S18" i="20"/>
  <c r="R18" i="20"/>
  <c r="K15" i="20"/>
  <c r="M15" i="20"/>
  <c r="L15" i="20"/>
  <c r="K21" i="20"/>
  <c r="L21" i="20"/>
  <c r="M21" i="20"/>
  <c r="K20" i="20"/>
  <c r="L20" i="20"/>
  <c r="M20" i="20"/>
  <c r="K24" i="20"/>
  <c r="L24" i="20"/>
  <c r="M24" i="20"/>
  <c r="K13" i="20"/>
  <c r="L13" i="20"/>
  <c r="M13" i="20"/>
  <c r="R15" i="20"/>
  <c r="S15" i="20"/>
  <c r="S14" i="20"/>
  <c r="R14" i="20"/>
  <c r="R13" i="20"/>
  <c r="S13" i="20"/>
  <c r="K5" i="20"/>
  <c r="L5" i="20"/>
  <c r="R6" i="20"/>
  <c r="S6" i="20"/>
  <c r="R5" i="20"/>
  <c r="S5" i="20"/>
  <c r="R10" i="20"/>
  <c r="S10" i="20"/>
  <c r="R12" i="20"/>
  <c r="S12" i="20"/>
  <c r="R8" i="20"/>
  <c r="S8" i="20"/>
  <c r="R9" i="20"/>
  <c r="S9" i="20"/>
  <c r="R11" i="20"/>
  <c r="S11" i="20"/>
  <c r="R7" i="20"/>
  <c r="S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Milton Alfredo Moya Galárraga</author>
  </authors>
  <commentList>
    <comment ref="K4" authorId="0" shapeId="0" xr:uid="{00000000-0006-0000-0600-000001000000}">
      <text>
        <r>
          <rPr>
            <b/>
            <sz val="9"/>
            <color indexed="81"/>
            <rFont val="Tahoma"/>
            <family val="2"/>
          </rPr>
          <t>Lugar físico donde se encuentra el activo</t>
        </r>
      </text>
    </comment>
    <comment ref="L4" authorId="0" shapeId="0" xr:uid="{00000000-0006-0000-0600-000002000000}">
      <text>
        <r>
          <rPr>
            <sz val="8"/>
            <color indexed="81"/>
            <rFont val="Tahoma"/>
            <family val="2"/>
          </rPr>
          <t>La valoración de los activos de la información en términos de impacto para la institución en caso de la pérdida de confidencialidad, integridad y disponibilidad, refiérase a tabla que se encuentra en la parte superior de está hoja.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 Gualotuña</author>
  </authors>
  <commentList>
    <comment ref="F7" authorId="0" shapeId="0" xr:uid="{D3C33FA5-6A56-4B90-9305-DAB3070BBC94}">
      <text>
        <r>
          <rPr>
            <b/>
            <sz val="8"/>
            <color indexed="81"/>
            <rFont val="Tahoma"/>
            <family val="2"/>
          </rPr>
          <t>D</t>
        </r>
        <r>
          <rPr>
            <sz val="8"/>
            <color indexed="81"/>
            <rFont val="Tahoma"/>
            <family val="2"/>
          </rPr>
          <t xml:space="preserve"> - Se utiliza para todas las acciones deliberadas dirigidas a la información y los activos relacionados con la información.</t>
        </r>
      </text>
    </comment>
    <comment ref="F8" authorId="0" shapeId="0" xr:uid="{D8D031CD-5438-4811-9107-E53905D974F6}">
      <text>
        <r>
          <rPr>
            <b/>
            <sz val="8"/>
            <color indexed="81"/>
            <rFont val="Tahoma"/>
            <family val="2"/>
          </rPr>
          <t xml:space="preserve">A </t>
        </r>
        <r>
          <rPr>
            <sz val="8"/>
            <color indexed="81"/>
            <rFont val="Tahoma"/>
            <family val="2"/>
          </rPr>
          <t>- se utiliza para todas las acciones humanas que pueden dañar accidentalmente información y activos relacionados con la información</t>
        </r>
      </text>
    </comment>
    <comment ref="F9" authorId="0" shapeId="0" xr:uid="{6CC6F609-3A0C-4EED-B491-183F29C705F1}">
      <text>
        <r>
          <rPr>
            <b/>
            <sz val="8"/>
            <color indexed="81"/>
            <rFont val="Tahoma"/>
            <family val="2"/>
          </rPr>
          <t>E</t>
        </r>
        <r>
          <rPr>
            <sz val="8"/>
            <color indexed="81"/>
            <rFont val="Tahoma"/>
            <family val="2"/>
          </rPr>
          <t xml:space="preserve"> - se utiliza para todos los incidentes que no se basan en acciones humanas.</t>
        </r>
      </text>
    </comment>
  </commentList>
</comments>
</file>

<file path=xl/sharedStrings.xml><?xml version="1.0" encoding="utf-8"?>
<sst xmlns="http://schemas.openxmlformats.org/spreadsheetml/2006/main" count="579" uniqueCount="427">
  <si>
    <t>Impacto</t>
  </si>
  <si>
    <t>Nivel de Riesgo</t>
  </si>
  <si>
    <t>Evaluación del Riesgo</t>
  </si>
  <si>
    <t>Tratamiento del Riesgo</t>
  </si>
  <si>
    <t>C</t>
  </si>
  <si>
    <t>I</t>
  </si>
  <si>
    <t>D</t>
  </si>
  <si>
    <t>Opciones de Tratamiento</t>
  </si>
  <si>
    <t>Hardware</t>
  </si>
  <si>
    <t>Software</t>
  </si>
  <si>
    <t>Alto (3)</t>
  </si>
  <si>
    <t>Medio (2)</t>
  </si>
  <si>
    <t>Bajo (1)</t>
  </si>
  <si>
    <t>Criterio</t>
  </si>
  <si>
    <t>La divulgación no autorizada de la información tiene un efecto critico para la institución Ej. Divulgación de información confidencial o sensible.</t>
  </si>
  <si>
    <t>La divulgación de la información no tiene ningún efecto para la institución  Ej. Divulgación de información pública.</t>
  </si>
  <si>
    <t>La destrucción o modificación no autorizada de la información tiene un efecto severo para la institución</t>
  </si>
  <si>
    <t>La destrucción o modificación no autorizada de la información tiene un efecto considerable para la institución</t>
  </si>
  <si>
    <t>La destrucción o modificación de la información tiene un efecto leve para la institución</t>
  </si>
  <si>
    <t>Nro. Activo</t>
  </si>
  <si>
    <t>A1</t>
  </si>
  <si>
    <t>A2</t>
  </si>
  <si>
    <t>A3</t>
  </si>
  <si>
    <t>A4</t>
  </si>
  <si>
    <t>A5</t>
  </si>
  <si>
    <t>A6</t>
  </si>
  <si>
    <t>A7</t>
  </si>
  <si>
    <t>Listado y valoración de los activos de información</t>
  </si>
  <si>
    <t xml:space="preserve"> </t>
  </si>
  <si>
    <t>Nivel de amenazas</t>
  </si>
  <si>
    <t>Criterio por probabilidad</t>
  </si>
  <si>
    <t>Criterio por condición de ocurrencia</t>
  </si>
  <si>
    <t>Criterio por atractivo</t>
  </si>
  <si>
    <t>Ejemplo</t>
  </si>
  <si>
    <t>La ocurrencia es muy probable (probabilidad &gt; 50%)</t>
  </si>
  <si>
    <t>La ocurrencia es probable (probabilidad =50%)</t>
  </si>
  <si>
    <t>La ocurrencia es menos probable (probabilidad &gt;0 y &lt;50%)</t>
  </si>
  <si>
    <t>Bajo circunstancias normales</t>
  </si>
  <si>
    <t>Por errores descuidos</t>
  </si>
  <si>
    <t>Código malicioso</t>
  </si>
  <si>
    <t>Falla de hardware</t>
  </si>
  <si>
    <t>desastres naturales</t>
  </si>
  <si>
    <t>Nivel de vulnerabilidad</t>
  </si>
  <si>
    <t xml:space="preserve">Criterio </t>
  </si>
  <si>
    <t>No existe ninguna medida de seguridad implementada para prevenir la ocurrencia de la amenaza</t>
  </si>
  <si>
    <t>Existen medidas de seguridad implementadas que no reducen la probabilidad de ocurrencia de la amenaza a un nivel aceptable</t>
  </si>
  <si>
    <t>La medida de seguridad es adecuada</t>
  </si>
  <si>
    <t>Existen normas para la utilización de contraseñas pero no se implementa</t>
  </si>
  <si>
    <t>Existen normas para la utilización de contraseñas y es aplicada</t>
  </si>
  <si>
    <t>Relación entre amenaza, vulnerabilidad y pérdida</t>
  </si>
  <si>
    <t>Nivel de Amenaza</t>
  </si>
  <si>
    <t>Nivel de amenaza</t>
  </si>
  <si>
    <t>Formula para calcular el grado de riesgo</t>
  </si>
  <si>
    <t>Riesgo actual = Valor del activo de la información (CID) x Amenaza x Vulnerabilidad</t>
  </si>
  <si>
    <t>Tabla de evaluación del activo</t>
  </si>
  <si>
    <t xml:space="preserve"> Bajo (1)</t>
  </si>
  <si>
    <t>Nivel de Vulnerabilidades</t>
  </si>
  <si>
    <t>Eliminar la actividad de alto riesgo o cambiar las condiciones bajo las cuales la actividad es operada (remover el riesgo)</t>
  </si>
  <si>
    <t xml:space="preserve">Tomar la decisión de aceptar las consecuencias de un riesgo en particular, es decir, no se realiza ninguna acción respecto al riesgo </t>
  </si>
  <si>
    <t>VA</t>
  </si>
  <si>
    <t>Tabla de valoración de Impacto en los activos de la información</t>
  </si>
  <si>
    <t>BAJO</t>
  </si>
  <si>
    <t>MEDIO</t>
  </si>
  <si>
    <t>ALTO</t>
  </si>
  <si>
    <t>Riesgo Residual</t>
  </si>
  <si>
    <t>C: Confidencialidad
I: Integridad
D: Disponibilidad</t>
  </si>
  <si>
    <t>No</t>
  </si>
  <si>
    <t>CAMPO</t>
  </si>
  <si>
    <t>INFORMACIÓN QUE DEBE CONTENER</t>
  </si>
  <si>
    <t>Probabilidad</t>
  </si>
  <si>
    <t>Riesgo residual</t>
  </si>
  <si>
    <t>Proceso Macro</t>
  </si>
  <si>
    <t>Subproceso</t>
  </si>
  <si>
    <t xml:space="preserve">Tipo de Activo </t>
  </si>
  <si>
    <t>Nombre de Activo</t>
  </si>
  <si>
    <t xml:space="preserve">Descripción del activo </t>
  </si>
  <si>
    <t>Intención del Uso</t>
  </si>
  <si>
    <t>Valoración de Impacto (pérdida)</t>
  </si>
  <si>
    <t>Tipo de Activo</t>
  </si>
  <si>
    <t xml:space="preserve">Nombre del Activo </t>
  </si>
  <si>
    <t>Asignar el número consecutivo para cada de activo empezando desde A1</t>
  </si>
  <si>
    <t>Descripción del Activo</t>
  </si>
  <si>
    <t>Intensión del uso</t>
  </si>
  <si>
    <t>Colocar el propósito de uso del activo de información</t>
  </si>
  <si>
    <t>Registrar el nombre del subproceso que pertenecen los activos de información</t>
  </si>
  <si>
    <t>Tipos de soporte</t>
  </si>
  <si>
    <t>Físico</t>
  </si>
  <si>
    <t>Tipo de soporte</t>
  </si>
  <si>
    <t>Ubicación</t>
  </si>
  <si>
    <t>Valoración del Impacto</t>
  </si>
  <si>
    <t>Confidencialidad</t>
  </si>
  <si>
    <t>Integridad</t>
  </si>
  <si>
    <t>Disponibilidad</t>
  </si>
  <si>
    <t>Propiedad que determina que la información no esté disponible; ni sea revelada a individuos, instituciones o procesos no autorizados</t>
  </si>
  <si>
    <t>Propiedad de salvaguardar la integridad de las aplicaciones e información preservando la información completa y exacta</t>
  </si>
  <si>
    <t>VALORACIÓN DEL ACTIVO</t>
  </si>
  <si>
    <t>INSTRUCTIVO</t>
  </si>
  <si>
    <t>Amenaza</t>
  </si>
  <si>
    <t>Vulnerabilidad</t>
  </si>
  <si>
    <t>controles implementados existentes</t>
  </si>
  <si>
    <t>Tipo de control</t>
  </si>
  <si>
    <t>Controles a Implementar</t>
  </si>
  <si>
    <t>Registrar el nombre del proceso macro definido en la hoja "Valoración del Activo"</t>
  </si>
  <si>
    <t>Registrar el nombre del subproceso definido en la hoja "Valoración del Activo"</t>
  </si>
  <si>
    <t>Registrar el número de activo definido en la hoja "Valoración del Activo"</t>
  </si>
  <si>
    <t>Registrar el valor del Impacto (VA) definido en la hoja "Valoración del Activo"</t>
  </si>
  <si>
    <t>ANÁLISIS DE RIESGO</t>
  </si>
  <si>
    <t>Análisis de Riesgos</t>
  </si>
  <si>
    <t>Evaluación de Riesgos</t>
  </si>
  <si>
    <t>Tratamiento de Riesgos</t>
  </si>
  <si>
    <t>La evaluación del Riesgo permite comparar los resultados de la calificación del riesgo, con los criterios definidos para establecer el grado de exposición de la institución</t>
  </si>
  <si>
    <t>Nivel de Vulnerabilidad</t>
  </si>
  <si>
    <t xml:space="preserve">La probabilidad es la medida para estimar la ocurrencia del riesgo </t>
  </si>
  <si>
    <t>Controles implementados existentes</t>
  </si>
  <si>
    <t>Describir si existe un control ya implementado, caso contrario dejar en blanco la celda</t>
  </si>
  <si>
    <t>Se multiplica el impacto por la probabilidad (Valor del activo * nivel de amenaza * nivel de vulnerabilidad ) - No modificar formula</t>
  </si>
  <si>
    <t xml:space="preserve">Nivel del Riesgo </t>
  </si>
  <si>
    <t>Método de tratamiento de riesgos</t>
  </si>
  <si>
    <t>Cálculo de evaluación de Riesgos</t>
  </si>
  <si>
    <t>Se calcula automáticamente considerando la variable "calculo de evaluación de riesgos" y lo definido en la hoja "Opc. Tratamiento Riesgo".</t>
  </si>
  <si>
    <t>Tipo de Control</t>
  </si>
  <si>
    <t xml:space="preserve">Control a Implementar </t>
  </si>
  <si>
    <t>Cálculo de Evaluación Riesgo con el  control implementado</t>
  </si>
  <si>
    <t>Cálculo de Evaluación Riesgo</t>
  </si>
  <si>
    <t>Nivel de Riesgo con el control Implementado</t>
  </si>
  <si>
    <t>Es el riesgo que fue minimizado con la implementación del nuevo control</t>
  </si>
  <si>
    <t xml:space="preserve">Es el riesgo actual sin la selección de salvaguardas </t>
  </si>
  <si>
    <t xml:space="preserve">Riesgo Residual </t>
  </si>
  <si>
    <t>Es la medida para estimar la ocurrencia del riesgo si aprovecha la amenaza definido en la hoja "Tablas de referencia"</t>
  </si>
  <si>
    <t>Especificar el lugar donde se encuentran los activos de información</t>
  </si>
  <si>
    <t>El atacante se beneficia en gran medida por el ataque, tiene la capacidad técnica para ejecutarlo y la vulnerabilidad es fácilmente explotable</t>
  </si>
  <si>
    <t>El atacante se beneficia de alguna manera por el ataque, tiene la capacidad técnica para ejecutarlo y la vulnerabilidad es fácilmente explotable</t>
  </si>
  <si>
    <t>en rara ocasión</t>
  </si>
  <si>
    <t>El atacante no se beneficia del ataque</t>
  </si>
  <si>
    <t>No se utilizan contraseñas para que los usuarios ingresen a los sistemas</t>
  </si>
  <si>
    <t>La divulgación no autorizada de la información tiene un efecto limitado para la institución  Ej. Divulgación de información de uso interno</t>
  </si>
  <si>
    <t>Valor del impacto en términos de la pérdida de (CID) en los activos</t>
  </si>
  <si>
    <t>Proceso de comparación del riesgo estimado contra un criterio de riesgo calculado dado para determinar la importancia del riesgo. El grado del riesgo es expresado numéricamente basado en las medidas del valor de los activos de información, el impacto de la amenaza y el alcance de la vulnerabilidad .</t>
  </si>
  <si>
    <t>Método de tratamiento de Riesgos</t>
  </si>
  <si>
    <t>Son las consecuencias o efectos que puede ocasionar la materialización del riesgo al proceso y por ende a la institución; valorando la confidencialidad, integridad y disponibilidad de la información</t>
  </si>
  <si>
    <t>Propiedad de que la información sea accesible, utilizable y/o disponible a los usuarios autorizados cuando estos lo requieran</t>
  </si>
  <si>
    <t>Es aquel riesgo que subsiste después de haber implementado controles, en esta matriz es considerado "ACEPTABLE" a partir de 3</t>
  </si>
  <si>
    <t>La interrupción al acceso de la información o los sistemas tienen un efecto severo para la institución</t>
  </si>
  <si>
    <t>La interrupción al acceso de la información o los sistemas tienen un efecto considerable para la institución</t>
  </si>
  <si>
    <t>Evaluación de las vulnerabilidades que ocasionan amenazas en los activos de información</t>
  </si>
  <si>
    <t>Es el proceso de identificación, control y reducción o eliminación de riesgos de seguridad que puedan afectar los sistemas de información o la organización.</t>
  </si>
  <si>
    <t>Nombre Activo</t>
  </si>
  <si>
    <t>Propietario del Activo</t>
  </si>
  <si>
    <t>A8</t>
  </si>
  <si>
    <t>A9</t>
  </si>
  <si>
    <t>Información</t>
  </si>
  <si>
    <t>Virtual en línea</t>
  </si>
  <si>
    <t>Acceso remoto</t>
  </si>
  <si>
    <t>Telefónico</t>
  </si>
  <si>
    <t>Físico y Virtual</t>
  </si>
  <si>
    <t>Físico y Telefónico</t>
  </si>
  <si>
    <r>
      <rPr>
        <sz val="8"/>
        <color theme="2"/>
        <rFont val="Arial"/>
        <family val="2"/>
      </rPr>
      <t xml:space="preserve">Valoración del impacto en términos de la perdida de la </t>
    </r>
    <r>
      <rPr>
        <b/>
        <u/>
        <sz val="8"/>
        <color theme="2"/>
        <rFont val="Arial"/>
        <family val="2"/>
      </rPr>
      <t>confidencialidad</t>
    </r>
  </si>
  <si>
    <r>
      <rPr>
        <sz val="8"/>
        <color theme="2"/>
        <rFont val="Arial"/>
        <family val="2"/>
      </rPr>
      <t>Valoración del impacto en términos de la perdida de la</t>
    </r>
    <r>
      <rPr>
        <b/>
        <sz val="8"/>
        <color theme="2"/>
        <rFont val="Arial"/>
        <family val="2"/>
      </rPr>
      <t xml:space="preserve"> </t>
    </r>
    <r>
      <rPr>
        <b/>
        <u/>
        <sz val="8"/>
        <color theme="2"/>
        <rFont val="Arial"/>
        <family val="2"/>
      </rPr>
      <t>integridad</t>
    </r>
  </si>
  <si>
    <r>
      <rPr>
        <sz val="8"/>
        <color theme="2"/>
        <rFont val="Arial"/>
        <family val="2"/>
      </rPr>
      <t>Valoración del impacto en términos de la perdida de</t>
    </r>
    <r>
      <rPr>
        <b/>
        <sz val="8"/>
        <color theme="2"/>
        <rFont val="Arial"/>
        <family val="2"/>
      </rPr>
      <t xml:space="preserve"> </t>
    </r>
    <r>
      <rPr>
        <b/>
        <u/>
        <sz val="8"/>
        <color theme="2"/>
        <rFont val="Arial"/>
        <family val="2"/>
      </rPr>
      <t>disponibilidad</t>
    </r>
  </si>
  <si>
    <t>VERSIONAMIENTO</t>
  </si>
  <si>
    <t>Versión:</t>
  </si>
  <si>
    <t>1.1</t>
  </si>
  <si>
    <t>Fecha de la versión:</t>
  </si>
  <si>
    <t>Creado por:</t>
  </si>
  <si>
    <t>Aprobado por:</t>
  </si>
  <si>
    <t>Nivel de confidencialidad:</t>
  </si>
  <si>
    <t>Bajo</t>
  </si>
  <si>
    <t>Referencia:</t>
  </si>
  <si>
    <t>Versión</t>
  </si>
  <si>
    <t>Fecha</t>
  </si>
  <si>
    <t>Detalle de la modificación</t>
  </si>
  <si>
    <t>0.1</t>
  </si>
  <si>
    <t>Descripción básica del documento</t>
  </si>
  <si>
    <t>1.0</t>
  </si>
  <si>
    <t>Modificación del documento</t>
  </si>
  <si>
    <t>Se calcula automáticamente, si el calculo que resulta de la evaluación del riesgo sobre el activo está en el rango determinado en 1 y 3 se recomienda “Monitoreo y control” que de acuerdo a la gestión institucional podría ejecutar acción o no, en el caso de tener un resultado entre 4 y 8 se recomienda implementar un “Control Preventivo”; si el resultado es mayo a 9 se recomienda un “Control Correctivo”.</t>
  </si>
  <si>
    <t>Es la salvaguarda que se debe ejecutar para minimizar el riesgo, donde se puede registrar el control que se va a implementar.</t>
  </si>
  <si>
    <t>Fuego</t>
  </si>
  <si>
    <t>Mantenimiento insuficiente/instalación defectuosa de los medios de almacenamiento</t>
  </si>
  <si>
    <t>Esquemas de reemplazo periódico insuficientes de equipos</t>
  </si>
  <si>
    <t>Contaminación, radiaciones nocivas</t>
  </si>
  <si>
    <t>Accidente grave</t>
  </si>
  <si>
    <t>Sensibilidad a la radiación electromagnética</t>
  </si>
  <si>
    <t>Explosión</t>
  </si>
  <si>
    <t>Susceptibilidad a las variaciones de tensión</t>
  </si>
  <si>
    <t>Fenómeno climático</t>
  </si>
  <si>
    <t>Susceptibilidad a las variaciones de temperatura</t>
  </si>
  <si>
    <t>Fenómeno sísmico</t>
  </si>
  <si>
    <t>Almacenamiento sin protección</t>
  </si>
  <si>
    <t>Falta de cuidado a disposición</t>
  </si>
  <si>
    <t>Fenómeno meteorológico</t>
  </si>
  <si>
    <t>Copia incontrolada</t>
  </si>
  <si>
    <t>Inundación</t>
  </si>
  <si>
    <t>Pruebas de software inexistentes o insuficientes</t>
  </si>
  <si>
    <t>Defectos conocidos en el software</t>
  </si>
  <si>
    <t>Fallo de un sistema de suministro</t>
  </si>
  <si>
    <t>No “cerrar sesión” al salir de la estación de trabajo</t>
  </si>
  <si>
    <t>Eliminación o reutilización de medios de almacenamiento sin un borrado adecuado</t>
  </si>
  <si>
    <t>Pérdida de suministro eléctrico</t>
  </si>
  <si>
    <t>Configuración insuficiente de los registros para fines de seguimiento de auditoría</t>
  </si>
  <si>
    <t>Fallo de una red de telecomunicaciones</t>
  </si>
  <si>
    <t>Asignación incorrecta de derechos de acceso</t>
  </si>
  <si>
    <t>Fallo de equipos de telecomunicaciones</t>
  </si>
  <si>
    <t>Software ampliamente distribuido</t>
  </si>
  <si>
    <t>Radiación electromagnética</t>
  </si>
  <si>
    <t>Radiación térmica</t>
  </si>
  <si>
    <t>Documentación insuficiente o faltante</t>
  </si>
  <si>
    <t>Pulsos electromagnéticos</t>
  </si>
  <si>
    <t>Configuración de parámetros incorrecta</t>
  </si>
  <si>
    <t>Fechas incorrectas</t>
  </si>
  <si>
    <t>Mecanismos de identificación y autenticación insuficientes (por ejemplo, para la autenticación de usuarios)</t>
  </si>
  <si>
    <t>Violación de la mantenibilidad del sistema de información</t>
  </si>
  <si>
    <t>Tablas de contraseñas desprotegidas</t>
  </si>
  <si>
    <t>Mala gestión de contraseñas</t>
  </si>
  <si>
    <t>Servicios innecesarios habilitados</t>
  </si>
  <si>
    <t>Interceptación de radiación de un dispositivo</t>
  </si>
  <si>
    <t>Software nuevo o inmaduro</t>
  </si>
  <si>
    <t>Espionaje remoto</t>
  </si>
  <si>
    <t>Especificaciones poco claras o incompletas para desarrolladores</t>
  </si>
  <si>
    <t>Control de cambios ineficaz</t>
  </si>
  <si>
    <t>Robo de soportes o documentos</t>
  </si>
  <si>
    <t>Descarga y uso incontrolado de software</t>
  </si>
  <si>
    <t>Robo de equipos</t>
  </si>
  <si>
    <t>Falta de copias de seguridad o copias de seguridad incompletas</t>
  </si>
  <si>
    <t>Robo de identidad o credenciales digitales</t>
  </si>
  <si>
    <t>No producir informes de gestión</t>
  </si>
  <si>
    <t>Recuperación de medios reciclados o desechados.</t>
  </si>
  <si>
    <t>Mecanismos insuficientes para la prueba de envío o recepción de un mensaje</t>
  </si>
  <si>
    <t>Divulgación de información</t>
  </si>
  <si>
    <t>Entrada de datos de fuentes no confiables</t>
  </si>
  <si>
    <t>Tráfico sensible no protegido</t>
  </si>
  <si>
    <t>Manipulación de hardware</t>
  </si>
  <si>
    <t>Cableado de unión deficiente</t>
  </si>
  <si>
    <t>Punto único de falla</t>
  </si>
  <si>
    <t>Manipulación de software</t>
  </si>
  <si>
    <t>Mecanismos ineficaces o falta de identificación y autenticación del remitente y receptor</t>
  </si>
  <si>
    <t>Arquitectura de red insegura</t>
  </si>
  <si>
    <t>Transferencia de contraseñas en claro</t>
  </si>
  <si>
    <t>Gestión inadecuada de la red (resiliencia del enrutamiento)</t>
  </si>
  <si>
    <t>Conexiones de red pública no protegidas</t>
  </si>
  <si>
    <t>Uso no autorizado de dispositivos</t>
  </si>
  <si>
    <t>Ausencia de personal</t>
  </si>
  <si>
    <t>Uso incorrecto de los dispositivos</t>
  </si>
  <si>
    <t>Copia fraudulenta de software</t>
  </si>
  <si>
    <t>Uso incorrecto de software y hardware</t>
  </si>
  <si>
    <t>Uso de software falsificado o copiado</t>
  </si>
  <si>
    <t>Poca conciencia de seguridad</t>
  </si>
  <si>
    <t>Corrupción de datos</t>
  </si>
  <si>
    <t>Mecanismos de seguimiento insuficientes o faltantes</t>
  </si>
  <si>
    <t>Tratamiento ilegal de datos</t>
  </si>
  <si>
    <t>Trabajo no supervisado por personal externo o de limpieza</t>
  </si>
  <si>
    <t>Envío o distribución de malware</t>
  </si>
  <si>
    <t>Ineficaces o falta de políticas para el correcto uso de los medios de telecomunicaciones y mensajería</t>
  </si>
  <si>
    <t>Error en uso</t>
  </si>
  <si>
    <t>Red eléctrica inestable</t>
  </si>
  <si>
    <t>Abuso de derechos o permisos</t>
  </si>
  <si>
    <t>Falsificación de derechos o permisos</t>
  </si>
  <si>
    <t>Procedimiento formal de alta y baja de usuarios no desarrollado o su implementación es ineficaz</t>
  </si>
  <si>
    <t>Denegación de acciones</t>
  </si>
  <si>
    <t>Proceso formal para la revisión (supervisión) del derecho de acceso no desarrollado, o su implementación es ineficaz</t>
  </si>
  <si>
    <t>Falta de personal</t>
  </si>
  <si>
    <t>Falta de recursos</t>
  </si>
  <si>
    <t>Fallo de los proveedores de servicios</t>
  </si>
  <si>
    <t>Auditorías (supervisión) no realizadas de forma regular</t>
  </si>
  <si>
    <t>Violación de leyes o reglamentos</t>
  </si>
  <si>
    <t>Procedimientos de identicación y evaluación de riesgos no desarrollados, o su implementación es ineficaz</t>
  </si>
  <si>
    <t>Respuesta inadecuada del servicio de mantenimiento</t>
  </si>
  <si>
    <t>Acuerdo de Nivel de Servicio insuficiente o faltante</t>
  </si>
  <si>
    <t>Procedimiento de control de cambios no desarrollado, o su implementación es ineficaz</t>
  </si>
  <si>
    <t>Procedimiento formal para el control de la documentación del SGSI no desarrollado o su implementación es ineficaz</t>
  </si>
  <si>
    <t>No se ha desarrollado un procedimiento formal para la supervisión de registros del SGSI o su implementación es ineficaz</t>
  </si>
  <si>
    <t>Proceso formal de autorización de información disponible públicamente no desarrollado, o su implementación es ineficaz</t>
  </si>
  <si>
    <t>No existen planes de continuidad, o están incompletos, o están desactualizados</t>
  </si>
  <si>
    <t>Procedimientos para introducir software en sistemas operativos no desarrollados o su implementación es ineficaz</t>
  </si>
  <si>
    <t>Procedimientos para el manejo de información clasificada no desarrollados o su implementación es ineficaz</t>
  </si>
  <si>
    <t>Las responsabilidades de seguridad de la información no están presentes en las descripciones de trabajo</t>
  </si>
  <si>
    <t>Proceso disciplinario en caso de incidente de seguridad de la información no definido, o no funcionando correctamente</t>
  </si>
  <si>
    <t>Política formal sobre el uso de computadoras móviles no desarrollada, o su implementación está ineficaz</t>
  </si>
  <si>
    <t>Control insuficiente de los activos fuera de las instalaciones</t>
  </si>
  <si>
    <t>Insuficiente o falta de política de “escritorio y pantalla despejados”</t>
  </si>
  <si>
    <t>Mecanismos de seguimiento de violaciones de seguridad no implementados adecuadamente</t>
  </si>
  <si>
    <t>Procedimientos para informar debilidades de seguridad no desarrollados o su implementación es ineficaz</t>
  </si>
  <si>
    <t>Procedimientos de cumplimiento de disposiciones sobre derechos intelectuales no desarrollados, o su implementación es ineficaz</t>
  </si>
  <si>
    <t>Personal</t>
  </si>
  <si>
    <t>Dirección de Infraestructura Interoperabilidad, Seguridad de la Información y Registro Civil</t>
  </si>
  <si>
    <t>1.3</t>
  </si>
  <si>
    <t xml:space="preserve">                SUBSECRETARÍA DE GOBIERNO  
ELECTRÓNICO  Y REGISTRO CIVIL</t>
  </si>
  <si>
    <t>CATEGORIA</t>
  </si>
  <si>
    <t>AMENAZA</t>
  </si>
  <si>
    <t>Amenazas físicas</t>
  </si>
  <si>
    <t>Agua</t>
  </si>
  <si>
    <t xml:space="preserve">Polvo, corrosión, congelación </t>
  </si>
  <si>
    <t>Amenazas naturales</t>
  </si>
  <si>
    <t>Fenómeno volcánico</t>
  </si>
  <si>
    <t xml:space="preserve">Pandemia/fenómeno epidémico </t>
  </si>
  <si>
    <t>Fallos técnicos</t>
  </si>
  <si>
    <t xml:space="preserve">Saturación del sistema de información </t>
  </si>
  <si>
    <t xml:space="preserve">Acciones humanas </t>
  </si>
  <si>
    <t xml:space="preserve">Tratamiento no autorizado de datos personales </t>
  </si>
  <si>
    <t xml:space="preserve">Dispositivos o medios dañinos </t>
  </si>
  <si>
    <t xml:space="preserve">Ingeniería Social </t>
  </si>
  <si>
    <t>VULNERABILIDAD</t>
  </si>
  <si>
    <t>Interfaz de usuario complicada</t>
  </si>
  <si>
    <t>Aplicar programas de aplicación a datos incorrectos en términos de tiempo</t>
  </si>
  <si>
    <t>Red</t>
  </si>
  <si>
    <t xml:space="preserve">Procedimientos de contratación inadecuados </t>
  </si>
  <si>
    <t>Formación en seguridad insuficiente</t>
  </si>
  <si>
    <t>Sitio</t>
  </si>
  <si>
    <t>Uso inadecuado o descuidado del control de acceso físico a edificios y habitaciones</t>
  </si>
  <si>
    <t>Ubicación en zona susceptible a inundaciones</t>
  </si>
  <si>
    <t>Organización</t>
  </si>
  <si>
    <t xml:space="preserve">Insuficientes o falta de informes de fallas registrados en los registros del administrador y del operador </t>
  </si>
  <si>
    <t xml:space="preserve">Asignación inadecuada de responsabilidades de seguridad de la información </t>
  </si>
  <si>
    <t xml:space="preserve">Amenazas organizativas
</t>
  </si>
  <si>
    <t>Tipo_Activo</t>
  </si>
  <si>
    <t>Tipo_Soporte</t>
  </si>
  <si>
    <t>Amenazas organizativas</t>
  </si>
  <si>
    <t>Causa potencial de la ocurrencia de un incidente no deseado, que puede ocasionar daños a un sistema o una organización, para esto tenemos el catalogo respectivo, de no encontrarlo proceder a describir el que se ha identificado.</t>
  </si>
  <si>
    <t>Debilidad de un activo o control, que puede ser explotado por una o más amenazas Ejm. Ausencia de Antivirus, para esto tenemos el catalogo respectivo, de no encontrarlo proceder a describir el que se ha identificado.</t>
  </si>
  <si>
    <t>ISO/IEC 27005; MAGERIT</t>
  </si>
  <si>
    <t>Subsecretaría de Gobierno Electrónico y Registro Civil</t>
  </si>
  <si>
    <t>Estimación de amenazas</t>
  </si>
  <si>
    <t>Estimación de vulnerabilidades</t>
  </si>
  <si>
    <r>
      <rPr>
        <b/>
        <sz val="8"/>
        <color rgb="FF7030A0"/>
        <rFont val="Arial"/>
        <family val="2"/>
      </rPr>
      <t>AMENAZA</t>
    </r>
    <r>
      <rPr>
        <sz val="8"/>
        <rFont val="Arial"/>
        <family val="2"/>
      </rPr>
      <t xml:space="preserve"> </t>
    </r>
    <r>
      <rPr>
        <b/>
        <sz val="8"/>
        <rFont val="Arial"/>
        <family val="2"/>
      </rPr>
      <t>x</t>
    </r>
    <r>
      <rPr>
        <sz val="8"/>
        <rFont val="Arial"/>
        <family val="2"/>
      </rPr>
      <t xml:space="preserve"> </t>
    </r>
    <r>
      <rPr>
        <b/>
        <sz val="8"/>
        <color rgb="FF00823B"/>
        <rFont val="Arial"/>
        <family val="2"/>
      </rPr>
      <t>VULNERABILIDAD</t>
    </r>
    <r>
      <rPr>
        <sz val="8"/>
        <rFont val="Arial"/>
        <family val="2"/>
      </rPr>
      <t xml:space="preserve"> = </t>
    </r>
    <r>
      <rPr>
        <sz val="8"/>
        <color rgb="FFF93B07"/>
        <rFont val="Arial"/>
        <family val="2"/>
      </rPr>
      <t>PÉRDIDA</t>
    </r>
  </si>
  <si>
    <r>
      <rPr>
        <b/>
        <sz val="8"/>
        <color rgb="FF7030A0"/>
        <rFont val="Arial"/>
        <family val="2"/>
      </rPr>
      <t>VIRUS</t>
    </r>
    <r>
      <rPr>
        <sz val="8"/>
        <rFont val="Arial"/>
        <family val="2"/>
      </rPr>
      <t xml:space="preserve"> </t>
    </r>
    <r>
      <rPr>
        <b/>
        <sz val="8"/>
        <rFont val="Arial"/>
        <family val="2"/>
      </rPr>
      <t>x</t>
    </r>
    <r>
      <rPr>
        <sz val="8"/>
        <rFont val="Arial"/>
        <family val="2"/>
      </rPr>
      <t xml:space="preserve"> </t>
    </r>
    <r>
      <rPr>
        <b/>
        <sz val="8"/>
        <color rgb="FF00823B"/>
        <rFont val="Arial"/>
        <family val="2"/>
      </rPr>
      <t>NO TENER INSTALADO UN SOFTWARE ANTIVIRUS</t>
    </r>
    <r>
      <rPr>
        <sz val="8"/>
        <rFont val="Arial"/>
        <family val="2"/>
      </rPr>
      <t xml:space="preserve"> = </t>
    </r>
    <r>
      <rPr>
        <sz val="8"/>
        <color rgb="FFF93B07"/>
        <rFont val="Arial"/>
        <family val="2"/>
      </rPr>
      <t>DESTRUCCIÓN DE DATOS</t>
    </r>
  </si>
  <si>
    <t>Registrar el nombre del proceso macro definido en el alcance del EGSI al cual pertenecen los activos de información</t>
  </si>
  <si>
    <t>Un activo es un elemento importante con valor para la institución y debe protegerse; los activos incluyen toda información y soporte para el funcionamiento del proceso macro a ser evaluado; se clasifican en: Hardware, software, datos, redes, personal, localización y organización. (de no encontrar lo que necesita modifique el catalogo que se encuentra en la misma página).</t>
  </si>
  <si>
    <t>Registrar el nombre del activo de información definido</t>
  </si>
  <si>
    <t>Digitar la descripción general del activo de información</t>
  </si>
  <si>
    <t>Medios en los cuales se contiene la información  (de no encontrar lo que necesita modifique el catalogo que se encuentra en la misma página).</t>
  </si>
  <si>
    <t>Registrar el nombre del propietario del activo, que es una persona o una entidad a la que la gestión institucional le otorga responsabilidad de administrar el activo de información en su ciclo de vida completo.</t>
  </si>
  <si>
    <t>Es la medida para estimar la ocurrencia del riesgo si aprovecha la vulnerabilidad definido en la hoja " Tablas de referencia"</t>
  </si>
  <si>
    <t>Selección de uno o varios controles para reducir el riesgo a un nivel aceptable para la institución ej. Implementar políticas de control de acceso</t>
  </si>
  <si>
    <t xml:space="preserve">MODIFICAR / PREVENIR / COMPARTIR </t>
  </si>
  <si>
    <r>
      <rPr>
        <b/>
        <sz val="8"/>
        <rFont val="Arial"/>
        <family val="2"/>
      </rPr>
      <t>MITIGACIÓN</t>
    </r>
    <r>
      <rPr>
        <sz val="8"/>
        <rFont val="Arial"/>
        <family val="2"/>
      </rPr>
      <t>, REDUCCIÓN O MODIFICACIÓN DEL RIESGO</t>
    </r>
  </si>
  <si>
    <r>
      <rPr>
        <b/>
        <sz val="8"/>
        <rFont val="Arial"/>
        <family val="2"/>
      </rPr>
      <t xml:space="preserve">PREVENCIÓN </t>
    </r>
    <r>
      <rPr>
        <sz val="8"/>
        <rFont val="Arial"/>
        <family val="2"/>
      </rPr>
      <t>O</t>
    </r>
    <r>
      <rPr>
        <b/>
        <sz val="8"/>
        <rFont val="Arial"/>
        <family val="2"/>
      </rPr>
      <t xml:space="preserve"> </t>
    </r>
    <r>
      <rPr>
        <sz val="8"/>
        <rFont val="Arial"/>
        <family val="2"/>
      </rPr>
      <t>EVITACIÓN DEL RIESGO</t>
    </r>
  </si>
  <si>
    <r>
      <rPr>
        <b/>
        <sz val="8"/>
        <rFont val="Arial"/>
        <family val="2"/>
      </rPr>
      <t>COMPARTICIÓN</t>
    </r>
    <r>
      <rPr>
        <sz val="8"/>
        <rFont val="Arial"/>
        <family val="2"/>
      </rPr>
      <t xml:space="preserve"> DEL RIESGO</t>
    </r>
  </si>
  <si>
    <r>
      <rPr>
        <b/>
        <sz val="8"/>
        <rFont val="Arial"/>
        <family val="2"/>
      </rPr>
      <t>ACEPTACIÓN</t>
    </r>
    <r>
      <rPr>
        <sz val="8"/>
        <rFont val="Arial"/>
        <family val="2"/>
      </rPr>
      <t xml:space="preserve"> O RETENCIÓN DEL RIESGO</t>
    </r>
  </si>
  <si>
    <t>RETENER / ACEPTAR</t>
  </si>
  <si>
    <t>Compartir con otra parte que pueda gestionar de manera más efectiva el riesgo particular dependiendo de la valoración de riesgos; implica la decisión de compartir ciertos riesgos con partes externas.</t>
  </si>
  <si>
    <t>A10</t>
  </si>
  <si>
    <t>A11</t>
  </si>
  <si>
    <t>A12</t>
  </si>
  <si>
    <t>A13</t>
  </si>
  <si>
    <t>A14</t>
  </si>
  <si>
    <t>A15</t>
  </si>
  <si>
    <t>A16</t>
  </si>
  <si>
    <t>A17</t>
  </si>
  <si>
    <t>A18</t>
  </si>
  <si>
    <t>A19</t>
  </si>
  <si>
    <t>A20</t>
  </si>
  <si>
    <t>A21</t>
  </si>
  <si>
    <t>A22</t>
  </si>
  <si>
    <t>A23</t>
  </si>
  <si>
    <t>A24</t>
  </si>
  <si>
    <t>A25</t>
  </si>
  <si>
    <t>A26</t>
  </si>
  <si>
    <r>
      <t xml:space="preserve">VA
</t>
    </r>
    <r>
      <rPr>
        <sz val="8"/>
        <rFont val="Arial"/>
        <family val="2"/>
      </rPr>
      <t>(CID)</t>
    </r>
  </si>
  <si>
    <t>CATÁLOGO DE VULNERABILIDADES TÍPICAS
Fuente: ISO/IEC 27005:2022</t>
  </si>
  <si>
    <t>CATALOGO DE AMENAZAS TÍPICAS
Fuente: ISO/IEC 27005:2022</t>
  </si>
  <si>
    <t>Actualización del contenido</t>
  </si>
  <si>
    <t>Activo 2</t>
  </si>
  <si>
    <t>Activo 3</t>
  </si>
  <si>
    <t>Activo 4</t>
  </si>
  <si>
    <t>Activo 5</t>
  </si>
  <si>
    <t>Activo 6</t>
  </si>
  <si>
    <t>Activo 7</t>
  </si>
  <si>
    <t>Activo 8</t>
  </si>
  <si>
    <t>Activo 9</t>
  </si>
  <si>
    <t>Activo 10</t>
  </si>
  <si>
    <t>Activo 11</t>
  </si>
  <si>
    <t>Activo 12</t>
  </si>
  <si>
    <t>Activo 13</t>
  </si>
  <si>
    <t>Activo 14</t>
  </si>
  <si>
    <t>Activo 15</t>
  </si>
  <si>
    <t>Activo 16</t>
  </si>
  <si>
    <t>Activo 17</t>
  </si>
  <si>
    <t>Activo 18</t>
  </si>
  <si>
    <t>Activo 19</t>
  </si>
  <si>
    <t>Activo 20</t>
  </si>
  <si>
    <t>Activo 21</t>
  </si>
  <si>
    <t>Activo 22</t>
  </si>
  <si>
    <t>Activo 23</t>
  </si>
  <si>
    <t>Activo 24</t>
  </si>
  <si>
    <t>Activo 25</t>
  </si>
  <si>
    <t>Activo 26</t>
  </si>
  <si>
    <t>Proceso Macro 1</t>
  </si>
  <si>
    <t>Subproceso 1</t>
  </si>
  <si>
    <t>Sistema para compras en línea</t>
  </si>
  <si>
    <t>e-Productos</t>
  </si>
  <si>
    <t>Compras en línea</t>
  </si>
  <si>
    <t>Director de Compras</t>
  </si>
  <si>
    <t>Amazon Cloud</t>
  </si>
  <si>
    <t>Fallo del sistema de refrigeración o ventilación</t>
  </si>
  <si>
    <t>Fallas en infraestructura</t>
  </si>
  <si>
    <t>Fallo del dispositivo o sistema</t>
  </si>
  <si>
    <t>Terrorismo, Ataque, sabotaje</t>
  </si>
  <si>
    <t>Interceptación de comunicaciones privadas</t>
  </si>
  <si>
    <t>"Drive-by ­exploits" utilizando comunicación basada en web</t>
  </si>
  <si>
    <t>Ataque de repetición (ataque de playback), ataque de hombre en el medio</t>
  </si>
  <si>
    <t>Entrada no autorizada a las instalaciones</t>
  </si>
  <si>
    <t>Detección de posición/ubicación</t>
  </si>
  <si>
    <t>Comprometimiento de funciones o servicios</t>
  </si>
  <si>
    <t>Susceptibilidad a la humedad, al polvo y a la suciedad</t>
  </si>
  <si>
    <t>Control de cambios de configuración, insuficiente</t>
  </si>
  <si>
    <t>Líneas de comunicación no protegidas</t>
  </si>
  <si>
    <t>Protección física insuficiente del edificio, puertas y ventanas</t>
  </si>
  <si>
    <t>Disposiciones insuficientes (en materia de seguridad) en contratos con clientes y/o terceros</t>
  </si>
  <si>
    <t>Procedimiento de monitoreo de las instalaciones de procesamiento de información no desarrollado o su implementación es ineficaz</t>
  </si>
  <si>
    <t>Política de uso del correo electrónico, no desarrollada o su implementación es ineficaz</t>
  </si>
  <si>
    <t>Insuficientes o inexistentes disposiciones (relativas a la seguridad de la información) en los contratos con empleados</t>
  </si>
  <si>
    <t>La autorización de las instalaciones de procesamiento de información no está implementada o no funciona correctamente</t>
  </si>
  <si>
    <t>A, D, E</t>
  </si>
  <si>
    <t>TIPO DE FUENTE DE RIESGO</t>
  </si>
  <si>
    <t>A, D,E</t>
  </si>
  <si>
    <t>E</t>
  </si>
  <si>
    <t>A</t>
  </si>
  <si>
    <t>A, D</t>
  </si>
  <si>
    <t>A, E</t>
  </si>
  <si>
    <t>A, D, R</t>
  </si>
  <si>
    <r>
      <rPr>
        <b/>
        <sz val="9"/>
        <rFont val="Arial"/>
        <family val="2"/>
      </rPr>
      <t>D</t>
    </r>
    <r>
      <rPr>
        <sz val="9"/>
        <rFont val="Arial"/>
        <family val="2"/>
      </rPr>
      <t xml:space="preserve"> = deliberado</t>
    </r>
  </si>
  <si>
    <r>
      <rPr>
        <b/>
        <sz val="9"/>
        <rFont val="Arial"/>
        <family val="2"/>
      </rPr>
      <t>A</t>
    </r>
    <r>
      <rPr>
        <sz val="9"/>
        <rFont val="Arial"/>
        <family val="2"/>
      </rPr>
      <t xml:space="preserve"> = accidental</t>
    </r>
  </si>
  <si>
    <r>
      <rPr>
        <b/>
        <sz val="9"/>
        <rFont val="Arial"/>
        <family val="2"/>
      </rPr>
      <t>E</t>
    </r>
    <r>
      <rPr>
        <sz val="9"/>
        <rFont val="Arial"/>
        <family val="2"/>
      </rPr>
      <t xml:space="preserve"> = ambiental</t>
    </r>
  </si>
  <si>
    <t>4.6 Gestión de la capacidad</t>
  </si>
  <si>
    <t>La interrupción al acceso de la información o los sistemas tienen un efecto mínimo para la institución</t>
  </si>
  <si>
    <t>Ninguno</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</si>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</sst>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31" x14ac:knownFonts="1">
    <font>
      <sz val="10"/>
      <name val="Arial"/>
    </font>
    <font>
      <sz val="11"/>
      <color theme="1"/>
      <name val="Calibri"/>
      <family val="2"/>
      <scheme val="minor"/>
    </font>
    <font>
      <sz val="10"/>
      <name val="Arial"/>
      <family val="2"/>
    </font>
    <font>
      <b/>
      <sz val="9"/>
      <color indexed="81"/>
      <name val="Tahoma"/>
      <family val="2"/>
    </font>
    <font>
      <u/>
      <sz val="10"/>
      <color theme="10"/>
      <name val="Arial"/>
      <family val="2"/>
    </font>
    <font>
      <sz val="8"/>
      <name val="Arial"/>
      <family val="2"/>
    </font>
    <font>
      <b/>
      <sz val="8"/>
      <name val="Arial"/>
      <family val="2"/>
    </font>
    <font>
      <sz val="8"/>
      <color indexed="81"/>
      <name val="Tahoma"/>
      <family val="2"/>
    </font>
    <font>
      <b/>
      <sz val="8"/>
      <color theme="1"/>
      <name val="Arial"/>
      <family val="2"/>
    </font>
    <font>
      <sz val="8"/>
      <color theme="1"/>
      <name val="Arial"/>
      <family val="2"/>
    </font>
    <font>
      <b/>
      <sz val="8"/>
      <color theme="0"/>
      <name val="Arial"/>
      <family val="2"/>
    </font>
    <font>
      <b/>
      <sz val="8"/>
      <color rgb="FF00823B"/>
      <name val="Arial"/>
      <family val="2"/>
    </font>
    <font>
      <b/>
      <sz val="8"/>
      <color rgb="FFC00000"/>
      <name val="Arial"/>
      <family val="2"/>
    </font>
    <font>
      <sz val="8"/>
      <color theme="0"/>
      <name val="Arial"/>
      <family val="2"/>
    </font>
    <font>
      <sz val="8"/>
      <name val="Calibri"/>
      <family val="2"/>
      <scheme val="minor"/>
    </font>
    <font>
      <sz val="9"/>
      <name val="Calibri"/>
      <family val="2"/>
      <scheme val="minor"/>
    </font>
    <font>
      <b/>
      <sz val="8"/>
      <color theme="2"/>
      <name val="Arial"/>
      <family val="2"/>
    </font>
    <font>
      <sz val="8"/>
      <color theme="2"/>
      <name val="Arial"/>
      <family val="2"/>
    </font>
    <font>
      <b/>
      <u/>
      <sz val="8"/>
      <color theme="2"/>
      <name val="Arial"/>
      <family val="2"/>
    </font>
    <font>
      <b/>
      <sz val="12"/>
      <color theme="0"/>
      <name val="Arial"/>
      <family val="2"/>
    </font>
    <font>
      <b/>
      <sz val="12"/>
      <color theme="0"/>
      <name val="Calibri"/>
      <family val="2"/>
      <scheme val="minor"/>
    </font>
    <font>
      <b/>
      <sz val="8"/>
      <color rgb="FF7030A0"/>
      <name val="Arial"/>
      <family val="2"/>
    </font>
    <font>
      <sz val="8"/>
      <color rgb="FFF93B07"/>
      <name val="Arial"/>
      <family val="2"/>
    </font>
    <font>
      <b/>
      <sz val="9"/>
      <color theme="0"/>
      <name val="Arial"/>
      <family val="2"/>
    </font>
    <font>
      <sz val="9"/>
      <name val="Arial"/>
      <family val="2"/>
    </font>
    <font>
      <sz val="9"/>
      <color theme="1"/>
      <name val="Arial"/>
      <family val="2"/>
    </font>
    <font>
      <b/>
      <sz val="9"/>
      <color theme="1"/>
      <name val="Calibri"/>
      <family val="2"/>
      <scheme val="minor"/>
    </font>
    <font>
      <b/>
      <sz val="9"/>
      <color theme="1"/>
      <name val="Arial"/>
      <family val="2"/>
    </font>
    <font>
      <b/>
      <sz val="9"/>
      <name val="Arial"/>
      <family val="2"/>
    </font>
    <font>
      <b/>
      <sz val="8"/>
      <color indexed="81"/>
      <name val="Tahoma"/>
      <family val="2"/>
    </font>
    <font>
      <b/>
      <sz val="9"/>
      <name val="Calibri"/>
      <family val="2"/>
      <scheme val="minor"/>
    </font>
  </fonts>
  <fills count="18">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93B07"/>
        <bgColor indexed="64"/>
      </patternFill>
    </fill>
    <fill>
      <patternFill patternType="solid">
        <fgColor rgb="FFC00000"/>
        <bgColor indexed="64"/>
      </patternFill>
    </fill>
    <fill>
      <patternFill patternType="solid">
        <fgColor theme="0"/>
        <bgColor indexed="64"/>
      </patternFill>
    </fill>
    <fill>
      <patternFill patternType="solid">
        <fgColor theme="1"/>
        <bgColor indexed="64"/>
      </patternFill>
    </fill>
    <fill>
      <patternFill patternType="solid">
        <fgColor rgb="FF00B0F0"/>
        <bgColor indexed="64"/>
      </patternFill>
    </fill>
    <fill>
      <patternFill patternType="solid">
        <fgColor theme="4" tint="0.59999389629810485"/>
        <bgColor indexed="64"/>
      </patternFill>
    </fill>
    <fill>
      <patternFill patternType="solid">
        <fgColor rgb="FF0070C0"/>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rgb="FF215868"/>
        <bgColor indexed="64"/>
      </patternFill>
    </fill>
    <fill>
      <patternFill patternType="solid">
        <fgColor theme="8"/>
        <bgColor theme="8"/>
      </patternFill>
    </fill>
    <fill>
      <patternFill patternType="solid">
        <fgColor theme="8" tint="0.79998168889431442"/>
        <bgColor theme="8" tint="0.79998168889431442"/>
      </patternFill>
    </fill>
    <fill>
      <patternFill patternType="solid">
        <fgColor theme="6" tint="0.59999389629810485"/>
        <bgColor indexed="64"/>
      </patternFill>
    </fill>
    <fill>
      <patternFill patternType="solid">
        <fgColor theme="8" tint="0.79998168889431442"/>
        <bgColor indexed="64"/>
      </patternFill>
    </fill>
  </fills>
  <borders count="16">
    <border>
      <left/>
      <right/>
      <top/>
      <bottom/>
      <diagonal/>
    </border>
    <border>
      <left/>
      <right/>
      <top style="thin">
        <color indexed="64"/>
      </top>
      <bottom style="thin">
        <color indexed="64"/>
      </bottom>
      <diagonal/>
    </border>
    <border>
      <left style="thin">
        <color theme="6" tint="-0.24994659260841701"/>
      </left>
      <right/>
      <top/>
      <bottom/>
      <diagonal/>
    </border>
    <border>
      <left/>
      <right style="thin">
        <color theme="6" tint="-0.24994659260841701"/>
      </right>
      <top/>
      <bottom/>
      <diagonal/>
    </border>
    <border>
      <left style="thin">
        <color rgb="FF0070C0"/>
      </left>
      <right style="thin">
        <color rgb="FF0070C0"/>
      </right>
      <top style="thin">
        <color rgb="FF0070C0"/>
      </top>
      <bottom style="thin">
        <color rgb="FF0070C0"/>
      </bottom>
      <diagonal/>
    </border>
    <border>
      <left/>
      <right/>
      <top style="thin">
        <color indexed="64"/>
      </top>
      <bottom style="thin">
        <color rgb="FF0070C0"/>
      </bottom>
      <diagonal/>
    </border>
    <border>
      <left/>
      <right/>
      <top style="thin">
        <color rgb="FF0070C0"/>
      </top>
      <bottom style="thin">
        <color rgb="FF0070C0"/>
      </bottom>
      <diagonal/>
    </border>
    <border>
      <left style="thin">
        <color rgb="FF0070C0"/>
      </left>
      <right/>
      <top style="thin">
        <color rgb="FF0070C0"/>
      </top>
      <bottom style="thin">
        <color rgb="FF0070C0"/>
      </bottom>
      <diagonal/>
    </border>
    <border>
      <left style="thin">
        <color rgb="FF0070C0"/>
      </left>
      <right style="thin">
        <color rgb="FF0070C0"/>
      </right>
      <top style="thin">
        <color rgb="FF0070C0"/>
      </top>
      <bottom/>
      <diagonal/>
    </border>
    <border>
      <left/>
      <right/>
      <top/>
      <bottom style="thin">
        <color rgb="FF0070C0"/>
      </bottom>
      <diagonal/>
    </border>
    <border>
      <left/>
      <right/>
      <top style="thin">
        <color rgb="FF0070C0"/>
      </top>
      <bottom/>
      <diagonal/>
    </border>
    <border>
      <left style="thin">
        <color rgb="FF0070C0"/>
      </left>
      <right style="thin">
        <color rgb="FF0070C0"/>
      </right>
      <top/>
      <bottom/>
      <diagonal/>
    </border>
    <border>
      <left style="thin">
        <color rgb="FF0070C0"/>
      </left>
      <right/>
      <top style="thin">
        <color rgb="FF0070C0"/>
      </top>
      <bottom/>
      <diagonal/>
    </border>
    <border>
      <left style="thin">
        <color rgb="FF0070C0"/>
      </left>
      <right/>
      <top/>
      <bottom/>
      <diagonal/>
    </border>
    <border>
      <left style="thin">
        <color rgb="FF0070C0"/>
      </left>
      <right/>
      <top/>
      <bottom style="thin">
        <color rgb="FF0070C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s>
  <cellStyleXfs count="4">
    <xf numFmtId="0" fontId="0" fillId="0" borderId="0"/>
    <xf numFmtId="0" fontId="4" fillId="0" borderId="0" applyNumberFormat="0" applyFill="0" applyBorder="0" applyAlignment="0" applyProtection="0"/>
    <xf numFmtId="0" fontId="2" fillId="0" borderId="0"/>
    <xf numFmtId="0" fontId="1" fillId="0" borderId="0"/>
  </cellStyleXfs>
  <cellXfs count="129">
    <xf numFmtId="0" fontId="0" fillId="0" borderId="0" xfId="0"/>
    <xf numFmtId="0" fontId="2" fillId="0" borderId="0" xfId="0" applyFont="1"/>
    <xf numFmtId="0" fontId="5" fillId="0" borderId="0" xfId="0" applyFont="1"/>
    <xf numFmtId="0" fontId="5" fillId="0" borderId="0" xfId="0" applyFont="1" applyAlignment="1">
      <alignment wrapText="1"/>
    </xf>
    <xf numFmtId="0" fontId="5" fillId="0" borderId="0" xfId="0" applyFont="1" applyAlignment="1">
      <alignment horizontal="center"/>
    </xf>
    <xf numFmtId="0" fontId="6" fillId="0" borderId="0" xfId="0" applyFont="1"/>
    <xf numFmtId="0" fontId="2" fillId="0" borderId="0" xfId="0" applyFont="1" applyAlignment="1">
      <alignment vertical="center"/>
    </xf>
    <xf numFmtId="164" fontId="5" fillId="0" borderId="0" xfId="0" applyNumberFormat="1" applyFont="1"/>
    <xf numFmtId="0" fontId="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left"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19" fillId="0" borderId="0" xfId="0" applyFont="1" applyAlignment="1">
      <alignment horizontal="center" vertical="center" wrapText="1"/>
    </xf>
    <xf numFmtId="0" fontId="10" fillId="0" borderId="0" xfId="0" applyFont="1" applyAlignment="1">
      <alignment horizontal="center" vertical="center" wrapText="1"/>
    </xf>
    <xf numFmtId="0" fontId="15" fillId="0" borderId="0" xfId="2" applyFont="1" applyAlignment="1">
      <alignment horizontal="left" wrapText="1"/>
    </xf>
    <xf numFmtId="0" fontId="6" fillId="9" borderId="4" xfId="0" applyFont="1" applyFill="1" applyBorder="1" applyAlignment="1">
      <alignment horizontal="center" vertical="center"/>
    </xf>
    <xf numFmtId="0" fontId="6" fillId="9" borderId="4"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6" fillId="11" borderId="4" xfId="0" applyFont="1" applyFill="1" applyBorder="1" applyAlignment="1">
      <alignment horizontal="center" vertical="center"/>
    </xf>
    <xf numFmtId="0" fontId="6" fillId="12" borderId="4"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vertical="center" wrapText="1"/>
    </xf>
    <xf numFmtId="2" fontId="5" fillId="16" borderId="4" xfId="0" applyNumberFormat="1" applyFont="1" applyFill="1" applyBorder="1" applyAlignment="1">
      <alignment horizontal="center" vertical="center"/>
    </xf>
    <xf numFmtId="0" fontId="14" fillId="0" borderId="4" xfId="0" applyFont="1" applyBorder="1" applyAlignment="1">
      <alignment horizontal="center" vertical="center"/>
    </xf>
    <xf numFmtId="2" fontId="5" fillId="0" borderId="4" xfId="0" applyNumberFormat="1" applyFont="1" applyBorder="1" applyAlignment="1">
      <alignment vertical="center"/>
    </xf>
    <xf numFmtId="0" fontId="5" fillId="0" borderId="4" xfId="0" applyFont="1" applyBorder="1"/>
    <xf numFmtId="2" fontId="5" fillId="0" borderId="4" xfId="0" applyNumberFormat="1" applyFont="1" applyBorder="1"/>
    <xf numFmtId="0" fontId="15" fillId="0" borderId="4" xfId="0" applyFont="1" applyBorder="1" applyAlignment="1">
      <alignment vertical="center" wrapText="1"/>
    </xf>
    <xf numFmtId="0" fontId="15" fillId="0" borderId="4" xfId="2" applyFont="1" applyBorder="1" applyAlignment="1">
      <alignment horizontal="left" vertical="top"/>
    </xf>
    <xf numFmtId="0" fontId="15" fillId="0" borderId="4" xfId="2" applyFont="1" applyBorder="1" applyAlignment="1">
      <alignment vertical="center" wrapText="1"/>
    </xf>
    <xf numFmtId="0" fontId="15" fillId="0" borderId="4" xfId="0" applyFont="1" applyBorder="1" applyAlignment="1">
      <alignment horizontal="center" vertical="center" wrapText="1"/>
    </xf>
    <xf numFmtId="0" fontId="15" fillId="0" borderId="4" xfId="2" applyFont="1" applyBorder="1" applyAlignment="1">
      <alignment horizontal="center" vertical="center" wrapText="1"/>
    </xf>
    <xf numFmtId="2" fontId="9" fillId="16" borderId="4" xfId="0" applyNumberFormat="1" applyFont="1" applyFill="1" applyBorder="1" applyAlignment="1">
      <alignment horizontal="center" vertical="center"/>
    </xf>
    <xf numFmtId="0" fontId="15" fillId="0" borderId="4" xfId="2" applyFont="1" applyBorder="1" applyAlignment="1">
      <alignment vertical="top" wrapText="1"/>
    </xf>
    <xf numFmtId="0" fontId="15" fillId="0" borderId="4" xfId="0" applyFont="1" applyBorder="1" applyAlignment="1">
      <alignment horizontal="left" vertical="top" wrapText="1"/>
    </xf>
    <xf numFmtId="0" fontId="5" fillId="0" borderId="4" xfId="0" applyFont="1" applyBorder="1" applyAlignment="1">
      <alignment vertical="center"/>
    </xf>
    <xf numFmtId="0" fontId="10" fillId="10" borderId="4" xfId="0" applyFont="1" applyFill="1" applyBorder="1" applyAlignment="1">
      <alignment horizontal="center" vertical="center" wrapText="1"/>
    </xf>
    <xf numFmtId="0" fontId="11" fillId="6" borderId="4" xfId="0" applyFont="1" applyFill="1" applyBorder="1" applyAlignment="1">
      <alignment vertical="center"/>
    </xf>
    <xf numFmtId="0" fontId="12" fillId="6" borderId="4" xfId="0" applyFont="1" applyFill="1" applyBorder="1" applyAlignment="1">
      <alignment vertical="center"/>
    </xf>
    <xf numFmtId="0" fontId="5" fillId="2" borderId="4" xfId="0" applyFont="1" applyFill="1" applyBorder="1"/>
    <xf numFmtId="0" fontId="5" fillId="3" borderId="4" xfId="0" applyFont="1" applyFill="1" applyBorder="1"/>
    <xf numFmtId="0" fontId="5" fillId="4" borderId="4" xfId="0" applyFont="1" applyFill="1" applyBorder="1"/>
    <xf numFmtId="0" fontId="6" fillId="2" borderId="4" xfId="0" applyFont="1" applyFill="1" applyBorder="1"/>
    <xf numFmtId="0" fontId="6" fillId="3" borderId="4" xfId="0" applyFont="1" applyFill="1" applyBorder="1"/>
    <xf numFmtId="0" fontId="10" fillId="5" borderId="4" xfId="0" applyFont="1" applyFill="1" applyBorder="1"/>
    <xf numFmtId="0" fontId="10" fillId="10" borderId="4" xfId="0" applyFont="1" applyFill="1" applyBorder="1" applyAlignment="1">
      <alignment horizontal="center" vertical="center"/>
    </xf>
    <xf numFmtId="0" fontId="8" fillId="0" borderId="4" xfId="0" applyFont="1" applyBorder="1" applyAlignment="1">
      <alignment horizontal="center" vertical="center" wrapText="1"/>
    </xf>
    <xf numFmtId="0" fontId="9" fillId="0" borderId="4" xfId="0" applyFont="1" applyBorder="1" applyAlignment="1">
      <alignment horizontal="left" vertical="center" wrapText="1"/>
    </xf>
    <xf numFmtId="0" fontId="16" fillId="10" borderId="4" xfId="0" applyFont="1" applyFill="1" applyBorder="1" applyAlignment="1">
      <alignment wrapText="1"/>
    </xf>
    <xf numFmtId="0" fontId="16" fillId="10" borderId="4" xfId="0" applyFont="1" applyFill="1" applyBorder="1"/>
    <xf numFmtId="0" fontId="5" fillId="0" borderId="4" xfId="0" applyFont="1" applyBorder="1" applyAlignment="1">
      <alignment wrapText="1"/>
    </xf>
    <xf numFmtId="0" fontId="13" fillId="8" borderId="4" xfId="0" applyFont="1" applyFill="1" applyBorder="1" applyAlignment="1">
      <alignment vertical="center" wrapText="1"/>
    </xf>
    <xf numFmtId="0" fontId="10" fillId="7" borderId="4" xfId="0" applyFont="1" applyFill="1" applyBorder="1" applyAlignment="1">
      <alignment horizontal="center" vertical="center" wrapText="1"/>
    </xf>
    <xf numFmtId="0" fontId="10" fillId="7" borderId="4" xfId="0" applyFont="1" applyFill="1" applyBorder="1" applyAlignment="1">
      <alignment vertical="center" wrapText="1"/>
    </xf>
    <xf numFmtId="14" fontId="5" fillId="0" borderId="4" xfId="0" applyNumberFormat="1" applyFont="1" applyBorder="1" applyAlignment="1">
      <alignment horizontal="center" vertical="center" wrapText="1"/>
    </xf>
    <xf numFmtId="0" fontId="6" fillId="8" borderId="9" xfId="0" applyFont="1" applyFill="1" applyBorder="1"/>
    <xf numFmtId="0" fontId="5" fillId="0" borderId="6" xfId="0" applyFont="1" applyBorder="1" applyAlignment="1">
      <alignment wrapText="1"/>
    </xf>
    <xf numFmtId="0" fontId="5" fillId="0" borderId="10" xfId="0" applyFont="1" applyBorder="1" applyAlignment="1">
      <alignment wrapText="1"/>
    </xf>
    <xf numFmtId="0" fontId="26" fillId="8" borderId="4" xfId="0" applyFont="1" applyFill="1" applyBorder="1" applyAlignment="1">
      <alignment horizontal="center"/>
    </xf>
    <xf numFmtId="0" fontId="26" fillId="8" borderId="8" xfId="0" applyFont="1" applyFill="1" applyBorder="1" applyAlignment="1">
      <alignment horizontal="center"/>
    </xf>
    <xf numFmtId="0" fontId="24" fillId="0" borderId="0" xfId="0" applyFont="1"/>
    <xf numFmtId="0" fontId="26" fillId="6" borderId="7" xfId="0" applyFont="1" applyFill="1" applyBorder="1" applyAlignment="1">
      <alignment horizontal="center"/>
    </xf>
    <xf numFmtId="0" fontId="27" fillId="0" borderId="9" xfId="0" applyFont="1" applyBorder="1" applyAlignment="1">
      <alignment horizontal="center" wrapText="1"/>
    </xf>
    <xf numFmtId="0" fontId="25" fillId="0" borderId="6" xfId="0" applyFont="1" applyBorder="1" applyAlignment="1">
      <alignment wrapText="1"/>
    </xf>
    <xf numFmtId="0" fontId="25" fillId="0" borderId="10" xfId="0" applyFont="1" applyBorder="1" applyAlignment="1">
      <alignment wrapText="1"/>
    </xf>
    <xf numFmtId="0" fontId="24" fillId="0" borderId="4" xfId="0" applyFont="1" applyBorder="1"/>
    <xf numFmtId="0" fontId="24" fillId="0" borderId="7" xfId="0" applyFont="1" applyBorder="1"/>
    <xf numFmtId="0" fontId="25" fillId="0" borderId="4" xfId="0" applyFont="1" applyBorder="1" applyAlignment="1">
      <alignment vertical="center" wrapText="1"/>
    </xf>
    <xf numFmtId="0" fontId="25" fillId="0" borderId="7" xfId="0" applyFont="1" applyBorder="1" applyAlignment="1">
      <alignment vertical="center" wrapText="1"/>
    </xf>
    <xf numFmtId="0" fontId="26" fillId="0" borderId="7" xfId="0" applyFont="1" applyBorder="1" applyAlignment="1">
      <alignment horizontal="center"/>
    </xf>
    <xf numFmtId="0" fontId="26" fillId="0" borderId="9" xfId="0" applyFont="1" applyBorder="1" applyAlignment="1">
      <alignment horizontal="center"/>
    </xf>
    <xf numFmtId="0" fontId="26" fillId="0" borderId="4" xfId="0" applyFont="1" applyBorder="1"/>
    <xf numFmtId="0" fontId="24" fillId="0" borderId="11" xfId="0" applyFont="1" applyBorder="1"/>
    <xf numFmtId="0" fontId="26" fillId="0" borderId="7" xfId="0" applyFont="1" applyBorder="1"/>
    <xf numFmtId="0" fontId="26" fillId="14" borderId="9" xfId="0" applyFont="1" applyFill="1" applyBorder="1" applyAlignment="1">
      <alignment horizontal="center"/>
    </xf>
    <xf numFmtId="0" fontId="25" fillId="15" borderId="6" xfId="0" applyFont="1" applyFill="1" applyBorder="1" applyAlignment="1">
      <alignment wrapText="1"/>
    </xf>
    <xf numFmtId="0" fontId="25" fillId="0" borderId="13" xfId="0" applyFont="1" applyBorder="1" applyAlignment="1">
      <alignment wrapText="1"/>
    </xf>
    <xf numFmtId="0" fontId="25" fillId="0" borderId="14" xfId="0" applyFont="1" applyBorder="1" applyAlignment="1">
      <alignment wrapText="1"/>
    </xf>
    <xf numFmtId="0" fontId="27" fillId="0" borderId="7" xfId="0" applyFont="1" applyBorder="1" applyAlignment="1">
      <alignment horizontal="center" wrapText="1"/>
    </xf>
    <xf numFmtId="0" fontId="25" fillId="0" borderId="7" xfId="0" applyFont="1" applyBorder="1" applyAlignment="1">
      <alignment wrapText="1"/>
    </xf>
    <xf numFmtId="0" fontId="25" fillId="0" borderId="12" xfId="0" applyFont="1" applyBorder="1" applyAlignment="1">
      <alignment wrapText="1"/>
    </xf>
    <xf numFmtId="0" fontId="26" fillId="8" borderId="4" xfId="0" applyFont="1" applyFill="1" applyBorder="1" applyAlignment="1">
      <alignment horizontal="center" wrapText="1"/>
    </xf>
    <xf numFmtId="0" fontId="26" fillId="8" borderId="4" xfId="0" applyFont="1" applyFill="1" applyBorder="1" applyAlignment="1">
      <alignment horizontal="center" vertical="center"/>
    </xf>
    <xf numFmtId="0" fontId="26" fillId="8" borderId="8" xfId="0" applyFont="1" applyFill="1" applyBorder="1" applyAlignment="1">
      <alignment horizontal="center" vertical="center"/>
    </xf>
    <xf numFmtId="0" fontId="0" fillId="0" borderId="0" xfId="0" applyAlignment="1">
      <alignment horizontal="center"/>
    </xf>
    <xf numFmtId="0" fontId="24" fillId="0" borderId="4" xfId="0" applyFont="1" applyBorder="1" applyAlignment="1">
      <alignment horizontal="center"/>
    </xf>
    <xf numFmtId="0" fontId="24" fillId="17" borderId="4" xfId="0" applyFont="1" applyFill="1" applyBorder="1" applyAlignment="1">
      <alignment horizontal="center"/>
    </xf>
    <xf numFmtId="0" fontId="24" fillId="0" borderId="15" xfId="0" applyFont="1" applyBorder="1"/>
    <xf numFmtId="0" fontId="30" fillId="0" borderId="4" xfId="2" applyFont="1" applyBorder="1" applyAlignment="1">
      <alignment horizontal="left" vertical="top"/>
    </xf>
    <xf numFmtId="0" fontId="6" fillId="0" borderId="4" xfId="0" applyFont="1" applyBorder="1" applyAlignment="1">
      <alignment horizontal="center" vertical="center" wrapText="1"/>
    </xf>
    <xf numFmtId="0" fontId="2" fillId="13" borderId="0" xfId="0" applyFont="1" applyFill="1" applyAlignment="1">
      <alignment horizontal="center"/>
    </xf>
    <xf numFmtId="0" fontId="5" fillId="0" borderId="4" xfId="0" applyFont="1" applyBorder="1" applyAlignment="1">
      <alignment horizontal="left" vertical="center" wrapText="1"/>
    </xf>
    <xf numFmtId="0" fontId="10" fillId="10" borderId="0" xfId="1" applyFont="1" applyFill="1" applyAlignment="1">
      <alignment horizontal="center"/>
    </xf>
    <xf numFmtId="14" fontId="5" fillId="0" borderId="4" xfId="0" applyNumberFormat="1" applyFont="1" applyBorder="1" applyAlignment="1">
      <alignment horizontal="left" vertical="center" wrapText="1"/>
    </xf>
    <xf numFmtId="0" fontId="5" fillId="0" borderId="0" xfId="0" applyFont="1" applyAlignment="1">
      <alignment horizontal="center"/>
    </xf>
    <xf numFmtId="0" fontId="10" fillId="7" borderId="0" xfId="0" applyFont="1" applyFill="1" applyAlignment="1">
      <alignment horizontal="center"/>
    </xf>
    <xf numFmtId="0" fontId="16" fillId="7" borderId="0" xfId="0" applyFont="1" applyFill="1" applyAlignment="1">
      <alignment horizontal="center"/>
    </xf>
    <xf numFmtId="0" fontId="10" fillId="10" borderId="2" xfId="0" applyFont="1" applyFill="1" applyBorder="1" applyAlignment="1">
      <alignment horizontal="center" vertical="center" wrapText="1"/>
    </xf>
    <xf numFmtId="0" fontId="10" fillId="10" borderId="0" xfId="0" applyFont="1" applyFill="1" applyAlignment="1">
      <alignment horizontal="center" vertical="center" wrapText="1"/>
    </xf>
    <xf numFmtId="0" fontId="10" fillId="10" borderId="3"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10" borderId="0" xfId="0" applyFont="1" applyFill="1" applyAlignment="1">
      <alignment horizontal="center"/>
    </xf>
    <xf numFmtId="0" fontId="6" fillId="0" borderId="0" xfId="0" applyFont="1" applyAlignment="1">
      <alignment horizontal="center"/>
    </xf>
    <xf numFmtId="0" fontId="5" fillId="0" borderId="4" xfId="0" applyFont="1" applyBorder="1" applyAlignment="1">
      <alignment horizontal="left"/>
    </xf>
    <xf numFmtId="0" fontId="5" fillId="0" borderId="4" xfId="0" applyFont="1" applyBorder="1" applyAlignment="1">
      <alignment horizontal="center"/>
    </xf>
    <xf numFmtId="0" fontId="5" fillId="0" borderId="0" xfId="0" applyFont="1" applyAlignment="1">
      <alignment horizontal="left" wrapText="1"/>
    </xf>
    <xf numFmtId="0" fontId="10" fillId="10" borderId="4" xfId="0" applyFont="1" applyFill="1" applyBorder="1" applyAlignment="1">
      <alignment horizontal="center" vertical="center" wrapText="1"/>
    </xf>
    <xf numFmtId="0" fontId="6" fillId="8" borderId="4" xfId="0" applyFont="1" applyFill="1" applyBorder="1" applyAlignment="1">
      <alignment horizontal="center" vertical="center"/>
    </xf>
    <xf numFmtId="0" fontId="23" fillId="10" borderId="0" xfId="0" applyFont="1" applyFill="1" applyAlignment="1">
      <alignment horizontal="center" vertical="center" wrapText="1"/>
    </xf>
    <xf numFmtId="0" fontId="6" fillId="0" borderId="0" xfId="0" applyFont="1" applyAlignment="1">
      <alignment horizontal="left" wrapText="1"/>
    </xf>
    <xf numFmtId="0" fontId="6" fillId="8" borderId="4" xfId="0" applyFont="1" applyFill="1" applyBorder="1" applyAlignment="1">
      <alignment horizontal="center" wrapText="1"/>
    </xf>
    <xf numFmtId="0" fontId="6" fillId="8" borderId="4" xfId="0" applyFont="1" applyFill="1" applyBorder="1" applyAlignment="1">
      <alignment horizontal="left" wrapText="1"/>
    </xf>
    <xf numFmtId="0" fontId="6" fillId="8" borderId="4" xfId="0" applyFont="1" applyFill="1" applyBorder="1" applyAlignment="1">
      <alignment horizontal="center" vertical="center" wrapText="1"/>
    </xf>
    <xf numFmtId="0" fontId="23" fillId="10" borderId="4" xfId="0" applyFont="1" applyFill="1" applyBorder="1" applyAlignment="1">
      <alignment horizontal="center" vertical="center" wrapText="1"/>
    </xf>
    <xf numFmtId="0" fontId="6" fillId="9" borderId="4" xfId="0" applyFont="1" applyFill="1" applyBorder="1" applyAlignment="1">
      <alignment horizontal="center" vertical="center"/>
    </xf>
    <xf numFmtId="0" fontId="6" fillId="9" borderId="4" xfId="0" applyFont="1" applyFill="1" applyBorder="1" applyAlignment="1">
      <alignment horizontal="center" vertical="center" wrapText="1"/>
    </xf>
    <xf numFmtId="0" fontId="0" fillId="0" borderId="6" xfId="0" applyBorder="1" applyAlignment="1">
      <alignment horizontal="center"/>
    </xf>
    <xf numFmtId="0" fontId="0" fillId="0" borderId="5" xfId="0" applyBorder="1" applyAlignment="1">
      <alignment horizontal="center"/>
    </xf>
    <xf numFmtId="0" fontId="27" fillId="0" borderId="7" xfId="0" applyFont="1" applyBorder="1" applyAlignment="1">
      <alignment horizontal="center" vertical="center" wrapText="1"/>
    </xf>
    <xf numFmtId="0" fontId="23" fillId="10" borderId="13" xfId="0" applyFont="1" applyFill="1" applyBorder="1" applyAlignment="1">
      <alignment horizontal="center" vertical="center" wrapText="1"/>
    </xf>
    <xf numFmtId="0" fontId="20" fillId="13" borderId="0" xfId="3" applyFont="1" applyFill="1" applyAlignment="1">
      <alignment horizontal="right" vertical="center" wrapText="1" indent="1"/>
    </xf>
    <xf numFmtId="0" fontId="27" fillId="0" borderId="4" xfId="0" applyFont="1" applyBorder="1" applyAlignment="1">
      <alignment horizontal="center" vertical="center" wrapText="1"/>
    </xf>
    <xf numFmtId="0" fontId="27" fillId="0" borderId="7" xfId="0" applyFont="1" applyBorder="1" applyAlignment="1">
      <alignment horizontal="center" vertical="center"/>
    </xf>
    <xf numFmtId="0" fontId="20" fillId="13" borderId="1" xfId="3" applyFont="1" applyFill="1" applyBorder="1" applyAlignment="1">
      <alignment horizontal="right" vertical="center" wrapText="1" indent="2"/>
    </xf>
    <xf numFmtId="0" fontId="0" fillId="0" borderId="10" xfId="0" applyBorder="1" applyAlignment="1">
      <alignment horizontal="center"/>
    </xf>
  </cellXfs>
  <cellStyles count="4">
    <cellStyle name="Hipervínculo" xfId="1" builtinId="8"/>
    <cellStyle name="Normal" xfId="0" builtinId="0"/>
    <cellStyle name="Normal 2" xfId="2" xr:uid="{00000000-0005-0000-0000-000002000000}"/>
    <cellStyle name="Normal 3" xfId="3" xr:uid="{1B9279AD-06E7-4043-A412-1BB98C061D53}"/>
  </cellStyles>
  <dxfs count="123">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Calibri"/>
        <family val="2"/>
        <scheme val="minor"/>
      </font>
      <fill>
        <patternFill patternType="solid">
          <fgColor theme="8"/>
          <bgColor theme="8"/>
        </patternFill>
      </fill>
      <alignment horizontal="center" vertical="bottom" textRotation="0" wrapText="0" indent="0" justifyLastLine="0" shrinkToFit="0" readingOrder="0"/>
      <border diagonalUp="0" diagonalDown="0" outline="0">
        <left style="thin">
          <color rgb="FF0070C0"/>
        </left>
        <right style="thin">
          <color rgb="FF0070C0"/>
        </right>
        <top/>
        <bottom/>
      </border>
    </dxf>
    <dxf>
      <font>
        <strike val="0"/>
        <outline val="0"/>
        <shadow val="0"/>
        <u val="none"/>
        <vertAlign val="baseline"/>
        <sz val="9"/>
      </font>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strike val="0"/>
        <outline val="0"/>
        <shadow val="0"/>
        <u val="none"/>
        <vertAlign val="baseline"/>
        <sz val="9"/>
      </font>
    </dxf>
    <dxf>
      <border>
        <bottom style="thin">
          <color rgb="FF0070C0"/>
        </bottom>
      </border>
    </dxf>
    <dxf>
      <font>
        <b/>
        <i val="0"/>
        <strike val="0"/>
        <condense val="0"/>
        <extend val="0"/>
        <outline val="0"/>
        <shadow val="0"/>
        <u val="none"/>
        <vertAlign val="baseline"/>
        <sz val="9"/>
        <color theme="1"/>
        <name val="Calibri"/>
        <family val="2"/>
        <scheme val="minor"/>
      </font>
      <fill>
        <patternFill patternType="solid">
          <fgColor theme="8"/>
          <bgColor theme="8"/>
        </patternFill>
      </fill>
      <alignment horizontal="center" vertical="bottom" textRotation="0" wrapText="0"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Calibri"/>
        <family val="2"/>
        <scheme val="minor"/>
      </font>
      <fill>
        <patternFill patternType="solid">
          <fgColor theme="8"/>
          <bgColor theme="8"/>
        </patternFill>
      </fill>
      <alignment horizontal="center" vertical="bottom" textRotation="0" wrapText="0"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Calibri"/>
        <family val="2"/>
        <scheme val="minor"/>
      </font>
      <fill>
        <patternFill patternType="solid">
          <fgColor theme="8"/>
          <bgColor theme="8"/>
        </patternFill>
      </fill>
      <alignment horizontal="center" vertical="bottom" textRotation="0" wrapText="0"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Calibri"/>
        <family val="2"/>
        <scheme val="minor"/>
      </font>
      <fill>
        <patternFill patternType="solid">
          <fgColor theme="8"/>
          <bgColor theme="8"/>
        </patternFill>
      </fill>
      <alignment horizontal="center" vertical="bottom" textRotation="0" wrapText="0"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Arial"/>
        <family val="2"/>
        <scheme val="none"/>
      </font>
      <alignment horizontal="center" vertical="bottom" textRotation="0" wrapText="1"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Arial"/>
        <family val="2"/>
        <scheme val="none"/>
      </font>
      <alignment horizontal="center" vertical="bottom" textRotation="0" wrapText="1"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Arial"/>
        <family val="2"/>
        <scheme val="none"/>
      </font>
      <alignment horizontal="center" vertical="bottom" textRotation="0" wrapText="1"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Arial"/>
        <family val="2"/>
        <scheme val="none"/>
      </font>
      <alignment horizontal="center" vertical="bottom" textRotation="0" wrapText="1"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Arial"/>
        <family val="2"/>
        <scheme val="none"/>
      </font>
      <alignment horizontal="center" vertical="bottom" textRotation="0" wrapText="1" indent="0" justifyLastLine="0" shrinkToFit="0" readingOrder="0"/>
      <border diagonalUp="0" diagonalDown="0" outline="0">
        <left style="thin">
          <color rgb="FF0070C0"/>
        </left>
        <right style="thin">
          <color rgb="FF0070C0"/>
        </right>
        <top/>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border diagonalUp="0" diagonalDown="0" outline="0">
        <left/>
        <right/>
        <top style="thin">
          <color rgb="FF0070C0"/>
        </top>
        <bottom style="thin">
          <color rgb="FF0070C0"/>
        </bottom>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9"/>
        <color theme="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9"/>
        <color theme="1"/>
        <name val="Arial"/>
        <family val="2"/>
        <scheme val="none"/>
      </font>
      <alignment horizontal="center" vertical="bottom" textRotation="0" wrapText="1" indent="0" justifyLastLine="0" shrinkToFit="0" readingOrder="0"/>
      <border diagonalUp="0" diagonalDown="0" outline="0">
        <left style="thin">
          <color rgb="FF0070C0"/>
        </left>
        <right style="thin">
          <color rgb="FF0070C0"/>
        </right>
        <top/>
        <bottom/>
      </border>
    </dxf>
    <dxf>
      <font>
        <b/>
        <i val="0"/>
        <color rgb="FFFF0000"/>
      </font>
    </dxf>
    <dxf>
      <font>
        <b/>
        <i val="0"/>
        <color rgb="FF00823B"/>
      </font>
    </dxf>
    <dxf>
      <font>
        <b/>
        <i val="0"/>
        <color rgb="FFFFC000"/>
      </font>
    </dxf>
    <dxf>
      <font>
        <b/>
        <i val="0"/>
        <color rgb="FF00823B"/>
      </font>
    </dxf>
    <dxf>
      <font>
        <b/>
        <i val="0"/>
        <color theme="4" tint="-0.24994659260841701"/>
      </font>
    </dxf>
    <dxf>
      <font>
        <b/>
        <i val="0"/>
        <color theme="4"/>
      </font>
    </dxf>
    <dxf>
      <font>
        <b/>
        <i val="0"/>
        <color theme="4" tint="-0.24994659260841701"/>
      </font>
    </dxf>
    <dxf>
      <fill>
        <patternFill>
          <bgColor rgb="FFC00000"/>
        </patternFill>
      </fill>
    </dxf>
    <dxf>
      <fill>
        <patternFill>
          <bgColor rgb="FFFFC000"/>
        </patternFill>
      </fill>
    </dxf>
    <dxf>
      <fill>
        <patternFill>
          <bgColor rgb="FF92D050"/>
        </patternFill>
      </fill>
    </dxf>
    <dxf>
      <fill>
        <patternFill>
          <bgColor rgb="FFC00000"/>
        </patternFill>
      </fill>
    </dxf>
    <dxf>
      <fill>
        <patternFill>
          <bgColor rgb="FFFFC000"/>
        </patternFill>
      </fill>
    </dxf>
    <dxf>
      <fill>
        <patternFill>
          <bgColor rgb="FF92D050"/>
        </patternFill>
      </fill>
    </dxf>
    <dxf>
      <font>
        <b/>
        <i val="0"/>
      </font>
      <fill>
        <patternFill>
          <bgColor rgb="FFC00000"/>
        </patternFill>
      </fill>
    </dxf>
    <dxf>
      <font>
        <b/>
        <i val="0"/>
      </font>
      <fill>
        <patternFill>
          <bgColor rgb="FFFFC000"/>
        </patternFill>
      </fill>
    </dxf>
    <dxf>
      <font>
        <b/>
        <i val="0"/>
      </font>
      <fill>
        <patternFill>
          <bgColor rgb="FF92D050"/>
        </patternFill>
      </fill>
    </dxf>
    <dxf>
      <font>
        <b/>
        <i val="0"/>
        <color rgb="FF00823B"/>
      </font>
    </dxf>
    <dxf>
      <font>
        <b/>
        <i val="0"/>
        <color rgb="FFC00000"/>
      </font>
    </dxf>
    <dxf>
      <font>
        <b/>
        <i val="0"/>
        <color rgb="FF00823B"/>
      </font>
      <fill>
        <patternFill>
          <bgColor theme="0"/>
        </patternFill>
      </fill>
    </dxf>
    <dxf>
      <font>
        <b/>
        <i val="0"/>
        <color rgb="FFFF0000"/>
      </font>
    </dxf>
    <dxf>
      <font>
        <b/>
        <i val="0"/>
        <color theme="3"/>
      </font>
    </dxf>
    <dxf>
      <font>
        <b/>
        <i val="0"/>
      </font>
      <fill>
        <patternFill>
          <bgColor rgb="FFFFC000"/>
        </patternFill>
      </fill>
    </dxf>
    <dxf>
      <font>
        <b/>
        <i val="0"/>
      </font>
      <fill>
        <patternFill>
          <bgColor rgb="FF92D050"/>
        </patternFill>
      </fill>
    </dxf>
    <dxf>
      <fill>
        <patternFill>
          <bgColor rgb="FFC00000"/>
        </patternFill>
      </fill>
    </dxf>
    <dxf>
      <fill>
        <patternFill>
          <bgColor rgb="FFFFC000"/>
        </patternFill>
      </fill>
    </dxf>
    <dxf>
      <fill>
        <patternFill>
          <bgColor rgb="FF92D050"/>
        </patternFill>
      </fill>
    </dxf>
    <dxf>
      <font>
        <b/>
        <i val="0"/>
        <color theme="0"/>
      </font>
      <fill>
        <patternFill>
          <bgColor rgb="FFC00000"/>
        </patternFill>
      </fill>
    </dxf>
    <dxf>
      <font>
        <b/>
        <i val="0"/>
        <color theme="1"/>
      </font>
      <fill>
        <patternFill>
          <bgColor rgb="FFFFC000"/>
        </patternFill>
      </fill>
    </dxf>
    <dxf>
      <font>
        <b/>
        <i val="0"/>
      </font>
      <fill>
        <patternFill>
          <bgColor rgb="FF92D050"/>
        </patternFill>
      </fill>
    </dxf>
    <dxf>
      <fill>
        <patternFill>
          <bgColor rgb="FFC00000"/>
        </patternFill>
      </fill>
    </dxf>
    <dxf>
      <fill>
        <patternFill>
          <bgColor rgb="FFFFC000"/>
        </patternFill>
      </fill>
    </dxf>
    <dxf>
      <fill>
        <patternFill>
          <bgColor rgb="FF92D050"/>
        </patternFill>
      </fill>
    </dxf>
    <dxf>
      <font>
        <b val="0"/>
        <i val="0"/>
        <strike val="0"/>
        <condense val="0"/>
        <extend val="0"/>
        <outline val="0"/>
        <shadow val="0"/>
        <u val="none"/>
        <vertAlign val="baseline"/>
        <sz val="8"/>
        <color auto="1"/>
        <name val="Arial"/>
        <family val="2"/>
        <scheme val="none"/>
      </font>
      <alignment horizontal="general" vertical="bottom" textRotation="0" wrapText="1" indent="0" justifyLastLine="0" shrinkToFit="0" readingOrder="0"/>
      <border diagonalUp="0" diagonalDown="0">
        <left/>
        <right/>
        <top style="thin">
          <color rgb="FF0070C0"/>
        </top>
        <bottom style="thin">
          <color rgb="FF0070C0"/>
        </bottom>
        <vertical style="thin">
          <color rgb="FF0070C0"/>
        </vertical>
        <horizontal style="thin">
          <color rgb="FF0070C0"/>
        </horizontal>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8"/>
        <color auto="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8"/>
        <color auto="1"/>
        <name val="Arial"/>
        <family val="2"/>
        <scheme val="none"/>
      </font>
      <fill>
        <patternFill patternType="solid">
          <fgColor indexed="64"/>
          <bgColor rgb="FF00B0F0"/>
        </patternFill>
      </fill>
      <border diagonalUp="0" diagonalDown="0">
        <left style="thin">
          <color rgb="FF0070C0"/>
        </left>
        <right style="thin">
          <color rgb="FF0070C0"/>
        </right>
        <top/>
        <bottom/>
        <vertical style="thin">
          <color rgb="FF0070C0"/>
        </vertical>
        <horizontal style="thin">
          <color rgb="FF0070C0"/>
        </horizontal>
      </border>
    </dxf>
    <dxf>
      <font>
        <b val="0"/>
        <i val="0"/>
        <strike val="0"/>
        <condense val="0"/>
        <extend val="0"/>
        <outline val="0"/>
        <shadow val="0"/>
        <u val="none"/>
        <vertAlign val="baseline"/>
        <sz val="8"/>
        <color auto="1"/>
        <name val="Arial"/>
        <family val="2"/>
        <scheme val="none"/>
      </font>
      <alignment horizontal="general" vertical="bottom" textRotation="0" wrapText="1" indent="0" justifyLastLine="0" shrinkToFit="0" readingOrder="0"/>
      <border diagonalUp="0" diagonalDown="0">
        <left/>
        <right/>
        <top style="thin">
          <color rgb="FF0070C0"/>
        </top>
        <bottom style="thin">
          <color rgb="FF0070C0"/>
        </bottom>
        <vertical style="thin">
          <color rgb="FF0070C0"/>
        </vertical>
        <horizontal style="thin">
          <color rgb="FF0070C0"/>
        </horizontal>
      </border>
    </dxf>
    <dxf>
      <border>
        <top style="thin">
          <color rgb="FF0070C0"/>
        </top>
      </border>
    </dxf>
    <dxf>
      <border diagonalUp="0" diagonalDown="0">
        <left style="thin">
          <color rgb="FF0070C0"/>
        </left>
        <right style="thin">
          <color rgb="FF0070C0"/>
        </right>
        <top style="thin">
          <color rgb="FF0070C0"/>
        </top>
        <bottom style="thin">
          <color rgb="FF0070C0"/>
        </bottom>
      </border>
    </dxf>
    <dxf>
      <font>
        <b val="0"/>
        <i val="0"/>
        <strike val="0"/>
        <condense val="0"/>
        <extend val="0"/>
        <outline val="0"/>
        <shadow val="0"/>
        <u val="none"/>
        <vertAlign val="baseline"/>
        <sz val="8"/>
        <color auto="1"/>
        <name val="Arial"/>
        <family val="2"/>
        <scheme val="none"/>
      </font>
      <alignment horizontal="general" vertical="bottom" textRotation="0" wrapText="1" indent="0" justifyLastLine="0" shrinkToFit="0" readingOrder="0"/>
    </dxf>
    <dxf>
      <border>
        <bottom style="thin">
          <color rgb="FF0070C0"/>
        </bottom>
      </border>
    </dxf>
    <dxf>
      <font>
        <b/>
        <i val="0"/>
        <strike val="0"/>
        <condense val="0"/>
        <extend val="0"/>
        <outline val="0"/>
        <shadow val="0"/>
        <u val="none"/>
        <vertAlign val="baseline"/>
        <sz val="8"/>
        <color auto="1"/>
        <name val="Arial"/>
        <family val="2"/>
        <scheme val="none"/>
      </font>
      <fill>
        <patternFill patternType="solid">
          <fgColor indexed="64"/>
          <bgColor rgb="FF00B0F0"/>
        </patternFill>
      </fill>
      <border diagonalUp="0" diagonalDown="0">
        <left style="thin">
          <color rgb="FF0070C0"/>
        </left>
        <right style="thin">
          <color rgb="FF0070C0"/>
        </right>
        <top/>
        <bottom/>
        <vertical style="thin">
          <color rgb="FF0070C0"/>
        </vertical>
        <horizontal style="thin">
          <color rgb="FF0070C0"/>
        </horizontal>
      </border>
    </dxf>
    <dxf>
      <font>
        <color rgb="FF006100"/>
      </font>
      <fill>
        <patternFill>
          <bgColor rgb="FFC6EFCE"/>
        </patternFill>
      </fill>
    </dxf>
  </dxfs>
  <tableStyles count="0" defaultTableStyle="TableStyleMedium2" defaultPivotStyle="PivotStyleLight16"/>
  <colors>
    <mruColors>
      <color rgb="FFF93B07"/>
      <color rgb="FF00823B"/>
      <color rgb="FF215868"/>
      <color rgb="FFEEEE12"/>
      <color rgb="FFE0F39B"/>
      <color rgb="FFF9AD6F"/>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742950</xdr:colOff>
      <xdr:row>1</xdr:row>
      <xdr:rowOff>123825</xdr:rowOff>
    </xdr:from>
    <xdr:to>
      <xdr:col>2</xdr:col>
      <xdr:colOff>876300</xdr:colOff>
      <xdr:row>1</xdr:row>
      <xdr:rowOff>552928</xdr:rowOff>
    </xdr:to>
    <xdr:pic>
      <xdr:nvPicPr>
        <xdr:cNvPr id="2" name="Imagen 1">
          <a:extLst>
            <a:ext uri="{FF2B5EF4-FFF2-40B4-BE49-F238E27FC236}">
              <a16:creationId xmlns:a16="http://schemas.microsoft.com/office/drawing/2014/main" id="{47A95992-AEA4-4E22-9382-B8DA0837B1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0" y="285750"/>
          <a:ext cx="2447925" cy="4291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723900</xdr:colOff>
      <xdr:row>36</xdr:row>
      <xdr:rowOff>114301</xdr:rowOff>
    </xdr:from>
    <xdr:to>
      <xdr:col>3</xdr:col>
      <xdr:colOff>1419225</xdr:colOff>
      <xdr:row>43</xdr:row>
      <xdr:rowOff>28576</xdr:rowOff>
    </xdr:to>
    <xdr:grpSp>
      <xdr:nvGrpSpPr>
        <xdr:cNvPr id="5" name="Grupo 4">
          <a:extLst>
            <a:ext uri="{FF2B5EF4-FFF2-40B4-BE49-F238E27FC236}">
              <a16:creationId xmlns:a16="http://schemas.microsoft.com/office/drawing/2014/main" id="{00000000-0008-0000-0300-000005000000}"/>
            </a:ext>
          </a:extLst>
        </xdr:cNvPr>
        <xdr:cNvGrpSpPr/>
      </xdr:nvGrpSpPr>
      <xdr:grpSpPr>
        <a:xfrm>
          <a:off x="2890838" y="9544051"/>
          <a:ext cx="3600450" cy="914400"/>
          <a:chOff x="1381125" y="3209925"/>
          <a:chExt cx="3524250" cy="885825"/>
        </a:xfrm>
      </xdr:grpSpPr>
      <xdr:sp macro="" textlink="">
        <xdr:nvSpPr>
          <xdr:cNvPr id="2" name="Elipse 1">
            <a:extLst>
              <a:ext uri="{FF2B5EF4-FFF2-40B4-BE49-F238E27FC236}">
                <a16:creationId xmlns:a16="http://schemas.microsoft.com/office/drawing/2014/main" id="{00000000-0008-0000-0300-000002000000}"/>
              </a:ext>
            </a:extLst>
          </xdr:cNvPr>
          <xdr:cNvSpPr/>
        </xdr:nvSpPr>
        <xdr:spPr>
          <a:xfrm>
            <a:off x="1381125" y="3219450"/>
            <a:ext cx="2181225" cy="876300"/>
          </a:xfrm>
          <a:prstGeom prst="ellipse">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1100"/>
          </a:p>
          <a:p>
            <a:pPr algn="l"/>
            <a:r>
              <a:rPr lang="es-EC" sz="1100"/>
              <a:t>     </a:t>
            </a:r>
            <a:r>
              <a:rPr lang="es-EC" sz="1100" baseline="0"/>
              <a:t> </a:t>
            </a:r>
            <a:r>
              <a:rPr lang="es-EC" sz="800" b="1"/>
              <a:t>AMENAZA</a:t>
            </a:r>
          </a:p>
        </xdr:txBody>
      </xdr:sp>
      <xdr:sp macro="" textlink="">
        <xdr:nvSpPr>
          <xdr:cNvPr id="3" name="Elipse 2">
            <a:extLst>
              <a:ext uri="{FF2B5EF4-FFF2-40B4-BE49-F238E27FC236}">
                <a16:creationId xmlns:a16="http://schemas.microsoft.com/office/drawing/2014/main" id="{00000000-0008-0000-0300-000003000000}"/>
              </a:ext>
            </a:extLst>
          </xdr:cNvPr>
          <xdr:cNvSpPr/>
        </xdr:nvSpPr>
        <xdr:spPr>
          <a:xfrm>
            <a:off x="2724150" y="3209925"/>
            <a:ext cx="2181225" cy="876300"/>
          </a:xfrm>
          <a:prstGeom prst="ellips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1100"/>
          </a:p>
          <a:p>
            <a:pPr algn="l"/>
            <a:r>
              <a:rPr lang="es-EC" sz="1100"/>
              <a:t>                 </a:t>
            </a:r>
            <a:r>
              <a:rPr lang="es-EC" sz="800" b="1"/>
              <a:t>VULNERABILIDAD</a:t>
            </a:r>
          </a:p>
          <a:p>
            <a:pPr algn="l"/>
            <a:endParaRPr lang="es-EC" sz="1100"/>
          </a:p>
        </xdr:txBody>
      </xdr:sp>
      <xdr:sp macro="" textlink="">
        <xdr:nvSpPr>
          <xdr:cNvPr id="4" name="Elipse 3">
            <a:extLst>
              <a:ext uri="{FF2B5EF4-FFF2-40B4-BE49-F238E27FC236}">
                <a16:creationId xmlns:a16="http://schemas.microsoft.com/office/drawing/2014/main" id="{00000000-0008-0000-0300-000004000000}"/>
              </a:ext>
            </a:extLst>
          </xdr:cNvPr>
          <xdr:cNvSpPr/>
        </xdr:nvSpPr>
        <xdr:spPr>
          <a:xfrm>
            <a:off x="2724150" y="3333750"/>
            <a:ext cx="857250" cy="619125"/>
          </a:xfrm>
          <a:prstGeom prst="ellipse">
            <a:avLst/>
          </a:prstGeom>
          <a:blipFill>
            <a:blip xmlns:r="http://schemas.openxmlformats.org/officeDocument/2006/relationships" r:embed="rId1"/>
            <a:tile tx="0" ty="0" sx="100000" sy="100000" flip="none" algn="tl"/>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800"/>
          </a:p>
          <a:p>
            <a:pPr algn="l"/>
            <a:r>
              <a:rPr lang="es-EC" sz="800" b="1">
                <a:solidFill>
                  <a:sysClr val="windowText" lastClr="000000"/>
                </a:solidFill>
              </a:rPr>
              <a:t> PÉRDIDA</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116679</xdr:colOff>
      <xdr:row>0</xdr:row>
      <xdr:rowOff>135731</xdr:rowOff>
    </xdr:from>
    <xdr:to>
      <xdr:col>1</xdr:col>
      <xdr:colOff>2512218</xdr:colOff>
      <xdr:row>0</xdr:row>
      <xdr:rowOff>556485</xdr:rowOff>
    </xdr:to>
    <xdr:pic>
      <xdr:nvPicPr>
        <xdr:cNvPr id="6" name="Imagen 5">
          <a:extLst>
            <a:ext uri="{FF2B5EF4-FFF2-40B4-BE49-F238E27FC236}">
              <a16:creationId xmlns:a16="http://schemas.microsoft.com/office/drawing/2014/main" id="{279E0630-70B3-447E-A7FE-957DDAE4B4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742" y="135731"/>
          <a:ext cx="2395539" cy="4207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164304</xdr:colOff>
      <xdr:row>0</xdr:row>
      <xdr:rowOff>52386</xdr:rowOff>
    </xdr:from>
    <xdr:to>
      <xdr:col>1</xdr:col>
      <xdr:colOff>2545745</xdr:colOff>
      <xdr:row>0</xdr:row>
      <xdr:rowOff>583405</xdr:rowOff>
    </xdr:to>
    <xdr:pic>
      <xdr:nvPicPr>
        <xdr:cNvPr id="3" name="Imagen 2">
          <a:extLst>
            <a:ext uri="{FF2B5EF4-FFF2-40B4-BE49-F238E27FC236}">
              <a16:creationId xmlns:a16="http://schemas.microsoft.com/office/drawing/2014/main" id="{FC2D1D1C-2372-43D5-8E85-01BD0F9B8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4367" y="52386"/>
          <a:ext cx="2381441" cy="53101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E3F83D-3E28-4872-9F89-B147F8189CD1}" name="Tabla7" displayName="Tabla7" ref="R7:R15" totalsRowShown="0" headerRowDxfId="121" dataDxfId="119" headerRowBorderDxfId="120" tableBorderDxfId="118" totalsRowBorderDxfId="117">
  <autoFilter ref="R7:R15" xr:uid="{27E3F83D-3E28-4872-9F89-B147F8189CD1}"/>
  <tableColumns count="1">
    <tableColumn id="1" xr3:uid="{1762840E-9605-427B-B776-7228049A96F7}" name="Tipo_Activo" dataDxfId="11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6C2EBCC-FC5E-4D06-A542-8313220881B2}" name="Tabla8" displayName="Tabla8" ref="S7:S15" totalsRowShown="0" headerRowDxfId="115" dataDxfId="113" headerRowBorderDxfId="114" tableBorderDxfId="112" totalsRowBorderDxfId="111">
  <autoFilter ref="S7:S15" xr:uid="{86C2EBCC-FC5E-4D06-A542-8313220881B2}"/>
  <tableColumns count="1">
    <tableColumn id="1" xr3:uid="{5DB38B32-22BF-472D-B19A-549B151D4280}" name="Tipo_Soporte" dataDxfId="11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2837EE-7074-4B16-B2F4-1106DBEC0053}" name="Tabla10" displayName="Tabla10" ref="C6:C12" totalsRowShown="0" headerRowDxfId="77" dataDxfId="75" headerRowBorderDxfId="76" tableBorderDxfId="74" totalsRowBorderDxfId="73">
  <autoFilter ref="C6:C12" xr:uid="{D42837EE-7074-4B16-B2F4-1106DBEC0053}"/>
  <tableColumns count="1">
    <tableColumn id="1" xr3:uid="{B7DAC66E-CD9D-4F9C-8D8F-6EC1B32ECA18}" name="Amenazas físicas" dataDxfId="72"/>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D77451B-2082-468E-9997-865F1FA5D4E7}" name="Tabla11" displayName="Tabla11" ref="C14:C20" totalsRowShown="0" headerRowDxfId="71" dataDxfId="69" headerRowBorderDxfId="70" tableBorderDxfId="68" totalsRowBorderDxfId="67">
  <autoFilter ref="C14:C20" xr:uid="{3D77451B-2082-468E-9997-865F1FA5D4E7}"/>
  <tableColumns count="1">
    <tableColumn id="1" xr3:uid="{1F37F152-2902-49E3-B7C8-63319E301141}" name="Amenazas naturales" dataDxfId="66"/>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4C8959-4923-432E-81BE-30FCB668D923}" name="Tabla12" displayName="Tabla12" ref="C22:C30" totalsRowShown="0" headerRowDxfId="65" dataDxfId="63" headerRowBorderDxfId="64" tableBorderDxfId="62" totalsRowBorderDxfId="61">
  <autoFilter ref="C22:C30" xr:uid="{CB4C8959-4923-432E-81BE-30FCB668D923}"/>
  <tableColumns count="1">
    <tableColumn id="1" xr3:uid="{43E57B88-5DFE-4D11-987A-3DCF27A38B41}" name="Fallas en infraestructura" dataDxfId="60"/>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79B28C-56F0-47F7-A872-5667054FF4C9}" name="Tabla13" displayName="Tabla13" ref="C32:C35" totalsRowShown="0" headerRowDxfId="59" dataDxfId="57" headerRowBorderDxfId="58" tableBorderDxfId="56" totalsRowBorderDxfId="55">
  <autoFilter ref="C32:C35" xr:uid="{1479B28C-56F0-47F7-A872-5667054FF4C9}"/>
  <tableColumns count="1">
    <tableColumn id="1" xr3:uid="{6E076802-9B5E-40E3-AE48-8ECAC10D4917}" name="Fallos técnicos" dataDxfId="54"/>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B504C22-C086-4329-9121-C0EE12C41A0B}" name="Tabla14" displayName="Tabla14" ref="C37:C63" totalsRowShown="0" headerRowDxfId="53" dataDxfId="51" headerRowBorderDxfId="52" tableBorderDxfId="50" totalsRowBorderDxfId="49">
  <autoFilter ref="C37:C63" xr:uid="{5B504C22-C086-4329-9121-C0EE12C41A0B}"/>
  <tableColumns count="1">
    <tableColumn id="1" xr3:uid="{BA0AE654-5997-4DB3-AA46-CD38C55F3BB8}" name="Acciones humanas " dataDxfId="48"/>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8C0972-CC18-47AA-861E-6BEB6AB6F813}" name="Tabla15" displayName="Tabla15" ref="C65:C69" totalsRowShown="0" headerRowDxfId="47" dataDxfId="45" headerRowBorderDxfId="46" tableBorderDxfId="44" totalsRowBorderDxfId="43">
  <autoFilter ref="C65:C69" xr:uid="{BC8C0972-CC18-47AA-861E-6BEB6AB6F813}"/>
  <tableColumns count="1">
    <tableColumn id="1" xr3:uid="{48B3D6F5-B449-4BEB-9F3C-BA4F440C80DC}" name="Comprometimiento de funciones o servicios" dataDxfId="42"/>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D3D4050-83B2-40C5-9CED-BDB77C3BAFF7}" name="Tabla16" displayName="Tabla16" ref="C71:C75" totalsRowShown="0" headerRowDxfId="41" dataDxfId="39" headerRowBorderDxfId="40" tableBorderDxfId="38" totalsRowBorderDxfId="37">
  <autoFilter ref="C71:C75" xr:uid="{BD3D4050-83B2-40C5-9CED-BDB77C3BAFF7}"/>
  <tableColumns count="1">
    <tableColumn id="1" xr3:uid="{48D7C569-53D8-4EF5-8059-01C8F802F073}" name="Amenazas organizativas" dataDxfId="36"/>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3423E3-AC9E-4387-A408-3F71F2F15068}" name="Tabla1" displayName="Tabla1" ref="C6:C16" totalsRowShown="0" headerRowDxfId="35" dataDxfId="33" headerRowBorderDxfId="34" tableBorderDxfId="32" totalsRowBorderDxfId="31">
  <autoFilter ref="C6:C16" xr:uid="{1D3423E3-AC9E-4387-A408-3F71F2F15068}"/>
  <tableColumns count="1">
    <tableColumn id="1" xr3:uid="{438E9567-2165-4CA7-B0BB-832B0CD3EBED}" name="Hardware" dataDxfId="30"/>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CD8F77-225F-4B38-85FE-EDD68B52B65F}" name="Tabla2" displayName="Tabla2" ref="C18:C40" totalsRowShown="0" headerRowDxfId="29" dataDxfId="27" headerRowBorderDxfId="28" tableBorderDxfId="26" totalsRowBorderDxfId="25">
  <autoFilter ref="C18:C40" xr:uid="{EBCD8F77-225F-4B38-85FE-EDD68B52B65F}"/>
  <tableColumns count="1">
    <tableColumn id="1" xr3:uid="{AAB7BD5C-A9F5-45B2-8465-FB9CDBB0CC5F}" name="Software" dataDxfId="24"/>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969922-2882-4017-9566-64DDDCB2DF44}" name="Tabla3" displayName="Tabla3" ref="C42:C52" totalsRowShown="0" headerRowDxfId="23" dataDxfId="21" headerRowBorderDxfId="22" tableBorderDxfId="20" totalsRowBorderDxfId="19">
  <autoFilter ref="C42:C52" xr:uid="{85969922-2882-4017-9566-64DDDCB2DF44}"/>
  <tableColumns count="1">
    <tableColumn id="1" xr3:uid="{70B51A1C-F247-4DA6-AA01-5796EB3B77D7}" name="Red" dataDxfId="18"/>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E78A62-B66C-4B4F-8AAF-F0D736B42BCC}" name="Tabla4" displayName="Tabla4" ref="C54:C62" totalsRowShown="0" headerRowDxfId="17" dataDxfId="15" headerRowBorderDxfId="16" tableBorderDxfId="14" totalsRowBorderDxfId="13">
  <autoFilter ref="C54:C62" xr:uid="{07E78A62-B66C-4B4F-8AAF-F0D736B42BCC}"/>
  <tableColumns count="1">
    <tableColumn id="1" xr3:uid="{C5000871-4AD8-4A97-86A4-631438955292}" name="Personal" dataDxfId="12"/>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BFE8F1-4E38-4F6F-A5E1-3F6F75D15743}" name="Tabla5" displayName="Tabla5" ref="C64:C68" totalsRowShown="0" headerRowDxfId="11" dataDxfId="9" headerRowBorderDxfId="10" tableBorderDxfId="8" totalsRowBorderDxfId="7">
  <autoFilter ref="C64:C68" xr:uid="{BABFE8F1-4E38-4F6F-A5E1-3F6F75D15743}"/>
  <tableColumns count="1">
    <tableColumn id="1" xr3:uid="{6B18C0D0-93EE-4312-A50B-A04E8A9083CE}" name="Sitio" dataDxfId="6"/>
  </tableColumns>
  <tableStyleInfo name="TableStyleMedium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3C9D09-3B02-4A36-A689-ABC1F2171BE9}" name="Tabla6" displayName="Tabla6" ref="C70:C98" totalsRowShown="0" headerRowDxfId="5" dataDxfId="3" headerRowBorderDxfId="4" tableBorderDxfId="2" totalsRowBorderDxfId="1">
  <autoFilter ref="C70:C98" xr:uid="{8E3C9D09-3B02-4A36-A689-ABC1F2171BE9}"/>
  <tableColumns count="1">
    <tableColumn id="1" xr3:uid="{A3B809C8-E69A-4B9C-9E08-5837F9E496A7}" name="Organización" dataDxfId="0"/>
  </tableColumns>
  <tableStyleInfo name="TableStyleMedium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comments" Target="../comments2.xml"/><Relationship Id="rId4" Type="http://schemas.openxmlformats.org/officeDocument/2006/relationships/table" Target="../tables/table4.xml"/><Relationship Id="rId9"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drawing" Target="../drawings/drawing4.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dimension ref="A2:C17"/>
  <sheetViews>
    <sheetView tabSelected="1" zoomScale="175" zoomScaleNormal="175" workbookViewId="0">
      <selection activeCell="A2" sqref="A2:C2"/>
    </sheetView>
  </sheetViews>
  <sheetFormatPr baseColWidth="10" defaultColWidth="17.42578125" defaultRowHeight="12.75" x14ac:dyDescent="0.2"/>
  <cols>
    <col min="1" max="1" width="17.42578125" style="1"/>
    <col min="2" max="2" width="17.28515625" style="1" customWidth="1"/>
    <col min="3" max="3" width="29.28515625" style="1" customWidth="1"/>
    <col min="4" max="4" width="36" style="1" bestFit="1" customWidth="1"/>
    <col min="5" max="5" width="37.140625" style="1" bestFit="1" customWidth="1"/>
    <col min="6" max="16384" width="17.42578125" style="1"/>
  </cols>
  <sheetData>
    <row r="2" spans="1:3" ht="57" customHeight="1" x14ac:dyDescent="0.2">
      <c r="A2" s="93"/>
      <c r="B2" s="93"/>
      <c r="C2" s="93"/>
    </row>
    <row r="3" spans="1:3" x14ac:dyDescent="0.2">
      <c r="A3" s="95" t="s">
        <v>159</v>
      </c>
      <c r="B3" s="95"/>
      <c r="C3" s="95"/>
    </row>
    <row r="4" spans="1:3" x14ac:dyDescent="0.2">
      <c r="A4" s="54" t="s">
        <v>160</v>
      </c>
      <c r="B4" s="94" t="s">
        <v>426</v>
      </c>
      <c r="C4" s="94"/>
    </row>
    <row r="5" spans="1:3" x14ac:dyDescent="0.2">
      <c r="A5" s="54" t="s">
        <v>162</v>
      </c>
      <c r="B5" s="96">
        <v>45568</v>
      </c>
      <c r="C5" s="96"/>
    </row>
    <row r="6" spans="1:3" ht="25.5" customHeight="1" x14ac:dyDescent="0.2">
      <c r="A6" s="54" t="s">
        <v>163</v>
      </c>
      <c r="B6" s="94" t="s">
        <v>284</v>
      </c>
      <c r="C6" s="94"/>
    </row>
    <row r="7" spans="1:3" ht="18" customHeight="1" x14ac:dyDescent="0.2">
      <c r="A7" s="54" t="s">
        <v>164</v>
      </c>
      <c r="B7" s="94" t="s">
        <v>320</v>
      </c>
      <c r="C7" s="94"/>
    </row>
    <row r="8" spans="1:3" ht="22.5" x14ac:dyDescent="0.2">
      <c r="A8" s="54" t="s">
        <v>165</v>
      </c>
      <c r="B8" s="94" t="s">
        <v>166</v>
      </c>
      <c r="C8" s="94"/>
    </row>
    <row r="9" spans="1:3" x14ac:dyDescent="0.2">
      <c r="A9" s="54" t="s">
        <v>167</v>
      </c>
      <c r="B9" s="94" t="s">
        <v>319</v>
      </c>
      <c r="C9" s="94"/>
    </row>
    <row r="10" spans="1:3" x14ac:dyDescent="0.2">
      <c r="A10" s="2"/>
      <c r="B10" s="2"/>
      <c r="C10" s="2"/>
    </row>
    <row r="11" spans="1:3" x14ac:dyDescent="0.2">
      <c r="A11" s="2"/>
      <c r="B11" s="2"/>
      <c r="C11" s="2"/>
    </row>
    <row r="12" spans="1:3" x14ac:dyDescent="0.2">
      <c r="A12" s="55" t="s">
        <v>168</v>
      </c>
      <c r="B12" s="55" t="s">
        <v>169</v>
      </c>
      <c r="C12" s="56" t="s">
        <v>170</v>
      </c>
    </row>
    <row r="13" spans="1:3" x14ac:dyDescent="0.2">
      <c r="A13" s="23" t="s">
        <v>171</v>
      </c>
      <c r="B13" s="57">
        <v>43497</v>
      </c>
      <c r="C13" s="24" t="s">
        <v>172</v>
      </c>
    </row>
    <row r="14" spans="1:3" x14ac:dyDescent="0.2">
      <c r="A14" s="23" t="s">
        <v>173</v>
      </c>
      <c r="B14" s="57">
        <v>43721</v>
      </c>
      <c r="C14" s="24" t="s">
        <v>174</v>
      </c>
    </row>
    <row r="15" spans="1:3" x14ac:dyDescent="0.2">
      <c r="A15" s="23" t="s">
        <v>161</v>
      </c>
      <c r="B15" s="57">
        <v>43888</v>
      </c>
      <c r="C15" s="24" t="s">
        <v>174</v>
      </c>
    </row>
    <row r="16" spans="1:3" x14ac:dyDescent="0.2">
      <c r="A16" s="23" t="s">
        <v>285</v>
      </c>
      <c r="B16" s="57">
        <v>45350</v>
      </c>
      <c r="C16" s="24" t="s">
        <v>360</v>
      </c>
    </row>
    <row r="17" spans="1:3" x14ac:dyDescent="0.2">
      <c r="A17" s="23" t="s">
        <v>426</v>
      </c>
      <c r="B17" s="57">
        <v>45568</v>
      </c>
      <c r="C17" s="24" t="s">
        <v>360</v>
      </c>
    </row>
  </sheetData>
  <mergeCells count="8">
    <mergeCell ref="A2:C2"/>
    <mergeCell ref="B7:C7"/>
    <mergeCell ref="B8:C8"/>
    <mergeCell ref="B9:C9"/>
    <mergeCell ref="A3:C3"/>
    <mergeCell ref="B4:C4"/>
    <mergeCell ref="B5:C5"/>
    <mergeCell ref="B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46"/>
  <sheetViews>
    <sheetView zoomScale="80" zoomScaleNormal="80" workbookViewId="0">
      <selection activeCell="D32" sqref="D32"/>
    </sheetView>
  </sheetViews>
  <sheetFormatPr baseColWidth="10" defaultRowHeight="11.25" x14ac:dyDescent="0.2"/>
  <cols>
    <col min="1" max="1" width="5.7109375" style="2" customWidth="1"/>
    <col min="2" max="2" width="26.7109375" style="2" bestFit="1" customWidth="1"/>
    <col min="3" max="3" width="43.5703125" style="2" customWidth="1"/>
    <col min="4" max="4" width="26.28515625" style="2" customWidth="1"/>
    <col min="5" max="5" width="23.42578125" style="2" customWidth="1"/>
    <col min="6" max="16384" width="11.42578125" style="2"/>
  </cols>
  <sheetData>
    <row r="2" spans="2:3" x14ac:dyDescent="0.2">
      <c r="B2" s="98" t="s">
        <v>60</v>
      </c>
      <c r="C2" s="98"/>
    </row>
    <row r="3" spans="2:3" ht="4.5" customHeight="1" x14ac:dyDescent="0.2">
      <c r="C3" s="11"/>
    </row>
    <row r="4" spans="2:3" ht="33.75" x14ac:dyDescent="0.2">
      <c r="B4" s="51" t="s">
        <v>156</v>
      </c>
      <c r="C4" s="52" t="s">
        <v>13</v>
      </c>
    </row>
    <row r="5" spans="2:3" ht="33.75" x14ac:dyDescent="0.2">
      <c r="B5" s="38" t="s">
        <v>10</v>
      </c>
      <c r="C5" s="53" t="s">
        <v>14</v>
      </c>
    </row>
    <row r="6" spans="2:3" ht="33.75" x14ac:dyDescent="0.2">
      <c r="B6" s="38" t="s">
        <v>11</v>
      </c>
      <c r="C6" s="53" t="s">
        <v>135</v>
      </c>
    </row>
    <row r="7" spans="2:3" ht="22.5" x14ac:dyDescent="0.2">
      <c r="B7" s="38" t="s">
        <v>12</v>
      </c>
      <c r="C7" s="53" t="s">
        <v>15</v>
      </c>
    </row>
    <row r="8" spans="2:3" x14ac:dyDescent="0.2">
      <c r="C8" s="3"/>
    </row>
    <row r="9" spans="2:3" ht="22.5" x14ac:dyDescent="0.2">
      <c r="B9" s="51" t="s">
        <v>157</v>
      </c>
      <c r="C9" s="52" t="s">
        <v>13</v>
      </c>
    </row>
    <row r="10" spans="2:3" ht="22.5" x14ac:dyDescent="0.2">
      <c r="B10" s="38" t="s">
        <v>10</v>
      </c>
      <c r="C10" s="53" t="s">
        <v>16</v>
      </c>
    </row>
    <row r="11" spans="2:3" ht="22.5" x14ac:dyDescent="0.2">
      <c r="B11" s="38" t="s">
        <v>11</v>
      </c>
      <c r="C11" s="53" t="s">
        <v>17</v>
      </c>
    </row>
    <row r="12" spans="2:3" ht="22.5" x14ac:dyDescent="0.2">
      <c r="B12" s="38" t="s">
        <v>12</v>
      </c>
      <c r="C12" s="53" t="s">
        <v>18</v>
      </c>
    </row>
    <row r="14" spans="2:3" ht="22.5" x14ac:dyDescent="0.2">
      <c r="B14" s="51" t="s">
        <v>158</v>
      </c>
      <c r="C14" s="52" t="s">
        <v>13</v>
      </c>
    </row>
    <row r="15" spans="2:3" ht="22.5" x14ac:dyDescent="0.2">
      <c r="B15" s="38" t="s">
        <v>10</v>
      </c>
      <c r="C15" s="53" t="s">
        <v>142</v>
      </c>
    </row>
    <row r="16" spans="2:3" ht="22.5" x14ac:dyDescent="0.2">
      <c r="B16" s="38" t="s">
        <v>11</v>
      </c>
      <c r="C16" s="53" t="s">
        <v>143</v>
      </c>
    </row>
    <row r="17" spans="2:6" ht="20.25" customHeight="1" x14ac:dyDescent="0.2">
      <c r="B17" s="38" t="s">
        <v>12</v>
      </c>
      <c r="C17" s="53" t="s">
        <v>424</v>
      </c>
    </row>
    <row r="20" spans="2:6" x14ac:dyDescent="0.2">
      <c r="B20" s="98" t="s">
        <v>321</v>
      </c>
      <c r="C20" s="98"/>
    </row>
    <row r="22" spans="2:6" ht="22.5" x14ac:dyDescent="0.2">
      <c r="B22" s="51" t="s">
        <v>29</v>
      </c>
      <c r="C22" s="51" t="s">
        <v>30</v>
      </c>
      <c r="D22" s="51" t="s">
        <v>31</v>
      </c>
      <c r="E22" s="51" t="s">
        <v>32</v>
      </c>
      <c r="F22" s="51" t="s">
        <v>33</v>
      </c>
    </row>
    <row r="23" spans="2:6" ht="60" customHeight="1" x14ac:dyDescent="0.2">
      <c r="B23" s="38" t="s">
        <v>10</v>
      </c>
      <c r="C23" s="24" t="s">
        <v>34</v>
      </c>
      <c r="D23" s="24" t="s">
        <v>37</v>
      </c>
      <c r="E23" s="24" t="s">
        <v>130</v>
      </c>
      <c r="F23" s="24" t="s">
        <v>39</v>
      </c>
    </row>
    <row r="24" spans="2:6" ht="61.5" customHeight="1" x14ac:dyDescent="0.2">
      <c r="B24" s="38" t="s">
        <v>11</v>
      </c>
      <c r="C24" s="24" t="s">
        <v>35</v>
      </c>
      <c r="D24" s="24" t="s">
        <v>38</v>
      </c>
      <c r="E24" s="24" t="s">
        <v>131</v>
      </c>
      <c r="F24" s="24" t="s">
        <v>40</v>
      </c>
    </row>
    <row r="25" spans="2:6" ht="21.75" customHeight="1" x14ac:dyDescent="0.2">
      <c r="B25" s="38" t="s">
        <v>12</v>
      </c>
      <c r="C25" s="24" t="s">
        <v>36</v>
      </c>
      <c r="D25" s="24" t="s">
        <v>132</v>
      </c>
      <c r="E25" s="24" t="s">
        <v>133</v>
      </c>
      <c r="F25" s="24" t="s">
        <v>41</v>
      </c>
    </row>
    <row r="27" spans="2:6" x14ac:dyDescent="0.2">
      <c r="B27" s="98" t="s">
        <v>322</v>
      </c>
      <c r="C27" s="98"/>
    </row>
    <row r="29" spans="2:6" x14ac:dyDescent="0.2">
      <c r="B29" s="51" t="s">
        <v>42</v>
      </c>
      <c r="C29" s="51" t="s">
        <v>43</v>
      </c>
      <c r="D29" s="51" t="s">
        <v>33</v>
      </c>
    </row>
    <row r="30" spans="2:6" ht="33.75" x14ac:dyDescent="0.2">
      <c r="B30" s="38" t="s">
        <v>10</v>
      </c>
      <c r="C30" s="53" t="s">
        <v>44</v>
      </c>
      <c r="D30" s="53" t="s">
        <v>134</v>
      </c>
    </row>
    <row r="31" spans="2:6" ht="33.75" x14ac:dyDescent="0.2">
      <c r="B31" s="38" t="s">
        <v>11</v>
      </c>
      <c r="C31" s="53" t="s">
        <v>45</v>
      </c>
      <c r="D31" s="53" t="s">
        <v>47</v>
      </c>
    </row>
    <row r="32" spans="2:6" ht="22.5" x14ac:dyDescent="0.2">
      <c r="B32" s="38" t="s">
        <v>12</v>
      </c>
      <c r="C32" s="53" t="s">
        <v>46</v>
      </c>
      <c r="D32" s="53" t="s">
        <v>48</v>
      </c>
    </row>
    <row r="36" spans="2:6" x14ac:dyDescent="0.2">
      <c r="C36" s="99" t="s">
        <v>49</v>
      </c>
      <c r="D36" s="99"/>
    </row>
    <row r="37" spans="2:6" x14ac:dyDescent="0.2">
      <c r="B37" s="4"/>
      <c r="C37" s="4"/>
      <c r="D37" s="4"/>
      <c r="E37" s="4"/>
      <c r="F37" s="4"/>
    </row>
    <row r="38" spans="2:6" x14ac:dyDescent="0.2">
      <c r="B38" s="4"/>
      <c r="C38" s="4"/>
      <c r="D38" s="4"/>
      <c r="E38" s="4"/>
      <c r="F38" s="4"/>
    </row>
    <row r="39" spans="2:6" x14ac:dyDescent="0.2">
      <c r="B39" s="4"/>
      <c r="C39" s="4"/>
      <c r="D39" s="4"/>
      <c r="E39" s="4"/>
      <c r="F39" s="4"/>
    </row>
    <row r="40" spans="2:6" x14ac:dyDescent="0.2">
      <c r="B40" s="4"/>
      <c r="C40" s="4"/>
      <c r="D40" s="4"/>
      <c r="E40" s="4"/>
      <c r="F40" s="4"/>
    </row>
    <row r="45" spans="2:6" ht="16.5" customHeight="1" x14ac:dyDescent="0.2">
      <c r="C45" s="97" t="s">
        <v>323</v>
      </c>
      <c r="D45" s="97"/>
    </row>
    <row r="46" spans="2:6" ht="14.25" customHeight="1" x14ac:dyDescent="0.2">
      <c r="C46" s="97" t="s">
        <v>324</v>
      </c>
      <c r="D46" s="97"/>
    </row>
  </sheetData>
  <mergeCells count="6">
    <mergeCell ref="C45:D45"/>
    <mergeCell ref="C46:D46"/>
    <mergeCell ref="B2:C2"/>
    <mergeCell ref="C36:D36"/>
    <mergeCell ref="B20:C20"/>
    <mergeCell ref="B27:C2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43"/>
  <sheetViews>
    <sheetView topLeftCell="C17" zoomScale="130" zoomScaleNormal="130" zoomScaleSheetLayoutView="100" workbookViewId="0">
      <selection activeCell="B2" sqref="B2:D2"/>
    </sheetView>
  </sheetViews>
  <sheetFormatPr baseColWidth="10" defaultRowHeight="11.25" x14ac:dyDescent="0.2"/>
  <cols>
    <col min="1" max="1" width="4.7109375" style="2" customWidth="1"/>
    <col min="2" max="2" width="12" style="5" bestFit="1" customWidth="1"/>
    <col min="3" max="3" width="28.28515625" style="2" customWidth="1"/>
    <col min="4" max="4" width="100.5703125" style="2" customWidth="1"/>
    <col min="5" max="16384" width="11.42578125" style="2"/>
  </cols>
  <sheetData>
    <row r="2" spans="2:4" ht="15.75" customHeight="1" x14ac:dyDescent="0.2">
      <c r="B2" s="103" t="s">
        <v>96</v>
      </c>
      <c r="C2" s="104"/>
      <c r="D2" s="104"/>
    </row>
    <row r="3" spans="2:4" ht="15.75" customHeight="1" x14ac:dyDescent="0.2">
      <c r="B3" s="14"/>
      <c r="C3" s="14"/>
      <c r="D3" s="14"/>
    </row>
    <row r="4" spans="2:4" ht="11.25" customHeight="1" x14ac:dyDescent="0.2">
      <c r="B4" s="100" t="s">
        <v>95</v>
      </c>
      <c r="C4" s="101"/>
      <c r="D4" s="102"/>
    </row>
    <row r="5" spans="2:4" ht="3" customHeight="1" x14ac:dyDescent="0.2">
      <c r="B5" s="15"/>
      <c r="C5" s="15"/>
      <c r="D5" s="15"/>
    </row>
    <row r="6" spans="2:4" x14ac:dyDescent="0.2">
      <c r="B6" s="48" t="s">
        <v>66</v>
      </c>
      <c r="C6" s="39" t="s">
        <v>67</v>
      </c>
      <c r="D6" s="39" t="s">
        <v>68</v>
      </c>
    </row>
    <row r="7" spans="2:4" x14ac:dyDescent="0.2">
      <c r="B7" s="49">
        <v>1</v>
      </c>
      <c r="C7" s="50" t="s">
        <v>19</v>
      </c>
      <c r="D7" s="50" t="s">
        <v>80</v>
      </c>
    </row>
    <row r="8" spans="2:4" x14ac:dyDescent="0.2">
      <c r="B8" s="49">
        <v>2</v>
      </c>
      <c r="C8" s="50" t="s">
        <v>71</v>
      </c>
      <c r="D8" s="50" t="s">
        <v>325</v>
      </c>
    </row>
    <row r="9" spans="2:4" x14ac:dyDescent="0.2">
      <c r="B9" s="49">
        <v>3</v>
      </c>
      <c r="C9" s="50" t="s">
        <v>72</v>
      </c>
      <c r="D9" s="50" t="s">
        <v>84</v>
      </c>
    </row>
    <row r="10" spans="2:4" ht="33.75" x14ac:dyDescent="0.2">
      <c r="B10" s="49">
        <v>4</v>
      </c>
      <c r="C10" s="50" t="s">
        <v>78</v>
      </c>
      <c r="D10" s="50" t="s">
        <v>326</v>
      </c>
    </row>
    <row r="11" spans="2:4" x14ac:dyDescent="0.2">
      <c r="B11" s="49">
        <v>5</v>
      </c>
      <c r="C11" s="50" t="s">
        <v>79</v>
      </c>
      <c r="D11" s="50" t="s">
        <v>327</v>
      </c>
    </row>
    <row r="12" spans="2:4" x14ac:dyDescent="0.2">
      <c r="B12" s="49">
        <v>6</v>
      </c>
      <c r="C12" s="50" t="s">
        <v>81</v>
      </c>
      <c r="D12" s="50" t="s">
        <v>328</v>
      </c>
    </row>
    <row r="13" spans="2:4" x14ac:dyDescent="0.2">
      <c r="B13" s="49">
        <v>7</v>
      </c>
      <c r="C13" s="50" t="s">
        <v>82</v>
      </c>
      <c r="D13" s="50" t="s">
        <v>83</v>
      </c>
    </row>
    <row r="14" spans="2:4" ht="22.5" x14ac:dyDescent="0.2">
      <c r="B14" s="49">
        <v>8</v>
      </c>
      <c r="C14" s="50" t="s">
        <v>85</v>
      </c>
      <c r="D14" s="50" t="s">
        <v>329</v>
      </c>
    </row>
    <row r="15" spans="2:4" ht="22.5" x14ac:dyDescent="0.2">
      <c r="B15" s="49">
        <v>9</v>
      </c>
      <c r="C15" s="50" t="s">
        <v>147</v>
      </c>
      <c r="D15" s="50" t="s">
        <v>330</v>
      </c>
    </row>
    <row r="16" spans="2:4" x14ac:dyDescent="0.2">
      <c r="B16" s="49">
        <v>10</v>
      </c>
      <c r="C16" s="50" t="s">
        <v>88</v>
      </c>
      <c r="D16" s="50" t="s">
        <v>129</v>
      </c>
    </row>
    <row r="17" spans="2:4" ht="22.5" x14ac:dyDescent="0.2">
      <c r="B17" s="49">
        <v>11</v>
      </c>
      <c r="C17" s="50" t="s">
        <v>89</v>
      </c>
      <c r="D17" s="50" t="s">
        <v>139</v>
      </c>
    </row>
    <row r="18" spans="2:4" x14ac:dyDescent="0.2">
      <c r="B18" s="49">
        <v>12</v>
      </c>
      <c r="C18" s="50" t="s">
        <v>90</v>
      </c>
      <c r="D18" s="50" t="s">
        <v>93</v>
      </c>
    </row>
    <row r="19" spans="2:4" x14ac:dyDescent="0.2">
      <c r="B19" s="49">
        <v>13</v>
      </c>
      <c r="C19" s="50" t="s">
        <v>91</v>
      </c>
      <c r="D19" s="50" t="s">
        <v>94</v>
      </c>
    </row>
    <row r="20" spans="2:4" x14ac:dyDescent="0.2">
      <c r="B20" s="49">
        <v>14</v>
      </c>
      <c r="C20" s="50" t="s">
        <v>92</v>
      </c>
      <c r="D20" s="50" t="s">
        <v>140</v>
      </c>
    </row>
    <row r="21" spans="2:4" x14ac:dyDescent="0.2">
      <c r="B21" s="12"/>
      <c r="C21" s="13"/>
      <c r="D21" s="13"/>
    </row>
    <row r="22" spans="2:4" ht="11.25" customHeight="1" x14ac:dyDescent="0.2">
      <c r="B22" s="100" t="s">
        <v>106</v>
      </c>
      <c r="C22" s="101"/>
      <c r="D22" s="102"/>
    </row>
    <row r="23" spans="2:4" ht="3.75" customHeight="1" x14ac:dyDescent="0.2">
      <c r="B23" s="15"/>
      <c r="C23" s="15"/>
      <c r="D23" s="15"/>
    </row>
    <row r="24" spans="2:4" x14ac:dyDescent="0.2">
      <c r="B24" s="49">
        <v>1</v>
      </c>
      <c r="C24" s="50" t="s">
        <v>107</v>
      </c>
      <c r="D24" s="50" t="s">
        <v>144</v>
      </c>
    </row>
    <row r="25" spans="2:4" x14ac:dyDescent="0.2">
      <c r="B25" s="49">
        <v>2</v>
      </c>
      <c r="C25" s="50" t="s">
        <v>71</v>
      </c>
      <c r="D25" s="50" t="s">
        <v>102</v>
      </c>
    </row>
    <row r="26" spans="2:4" x14ac:dyDescent="0.2">
      <c r="B26" s="49">
        <v>3</v>
      </c>
      <c r="C26" s="50" t="s">
        <v>72</v>
      </c>
      <c r="D26" s="50" t="s">
        <v>103</v>
      </c>
    </row>
    <row r="27" spans="2:4" x14ac:dyDescent="0.2">
      <c r="B27" s="49">
        <v>4</v>
      </c>
      <c r="C27" s="50" t="s">
        <v>19</v>
      </c>
      <c r="D27" s="50" t="s">
        <v>104</v>
      </c>
    </row>
    <row r="28" spans="2:4" ht="22.5" x14ac:dyDescent="0.2">
      <c r="B28" s="49">
        <v>5</v>
      </c>
      <c r="C28" s="50" t="s">
        <v>97</v>
      </c>
      <c r="D28" s="50" t="s">
        <v>317</v>
      </c>
    </row>
    <row r="29" spans="2:4" ht="22.5" x14ac:dyDescent="0.2">
      <c r="B29" s="49">
        <v>6</v>
      </c>
      <c r="C29" s="50" t="s">
        <v>98</v>
      </c>
      <c r="D29" s="50" t="s">
        <v>318</v>
      </c>
    </row>
    <row r="30" spans="2:4" ht="22.5" x14ac:dyDescent="0.2">
      <c r="B30" s="49">
        <v>7</v>
      </c>
      <c r="C30" s="50" t="s">
        <v>108</v>
      </c>
      <c r="D30" s="50" t="s">
        <v>110</v>
      </c>
    </row>
    <row r="31" spans="2:4" x14ac:dyDescent="0.2">
      <c r="B31" s="49">
        <v>8</v>
      </c>
      <c r="C31" s="50" t="s">
        <v>89</v>
      </c>
      <c r="D31" s="50" t="s">
        <v>105</v>
      </c>
    </row>
    <row r="32" spans="2:4" x14ac:dyDescent="0.2">
      <c r="B32" s="49">
        <v>9</v>
      </c>
      <c r="C32" s="50" t="s">
        <v>69</v>
      </c>
      <c r="D32" s="50" t="s">
        <v>112</v>
      </c>
    </row>
    <row r="33" spans="2:4" x14ac:dyDescent="0.2">
      <c r="B33" s="49">
        <v>10</v>
      </c>
      <c r="C33" s="50" t="s">
        <v>50</v>
      </c>
      <c r="D33" s="50" t="s">
        <v>128</v>
      </c>
    </row>
    <row r="34" spans="2:4" x14ac:dyDescent="0.2">
      <c r="B34" s="49">
        <v>11</v>
      </c>
      <c r="C34" s="50" t="s">
        <v>111</v>
      </c>
      <c r="D34" s="50" t="s">
        <v>331</v>
      </c>
    </row>
    <row r="35" spans="2:4" x14ac:dyDescent="0.2">
      <c r="B35" s="49">
        <v>12</v>
      </c>
      <c r="C35" s="50" t="s">
        <v>113</v>
      </c>
      <c r="D35" s="50" t="s">
        <v>114</v>
      </c>
    </row>
    <row r="36" spans="2:4" x14ac:dyDescent="0.2">
      <c r="B36" s="49">
        <v>13</v>
      </c>
      <c r="C36" s="50" t="s">
        <v>118</v>
      </c>
      <c r="D36" s="50" t="s">
        <v>115</v>
      </c>
    </row>
    <row r="37" spans="2:4" x14ac:dyDescent="0.2">
      <c r="B37" s="49">
        <v>14</v>
      </c>
      <c r="C37" s="50" t="s">
        <v>116</v>
      </c>
      <c r="D37" s="50" t="s">
        <v>126</v>
      </c>
    </row>
    <row r="38" spans="2:4" ht="22.5" x14ac:dyDescent="0.2">
      <c r="B38" s="49">
        <v>15</v>
      </c>
      <c r="C38" s="50" t="s">
        <v>3</v>
      </c>
      <c r="D38" s="50" t="s">
        <v>145</v>
      </c>
    </row>
    <row r="39" spans="2:4" x14ac:dyDescent="0.2">
      <c r="B39" s="49">
        <v>16</v>
      </c>
      <c r="C39" s="50" t="s">
        <v>117</v>
      </c>
      <c r="D39" s="50" t="s">
        <v>119</v>
      </c>
    </row>
    <row r="40" spans="2:4" ht="33.75" x14ac:dyDescent="0.2">
      <c r="B40" s="49">
        <v>17</v>
      </c>
      <c r="C40" s="50" t="s">
        <v>120</v>
      </c>
      <c r="D40" s="50" t="s">
        <v>175</v>
      </c>
    </row>
    <row r="41" spans="2:4" x14ac:dyDescent="0.2">
      <c r="B41" s="49">
        <v>18</v>
      </c>
      <c r="C41" s="50" t="s">
        <v>121</v>
      </c>
      <c r="D41" s="50" t="s">
        <v>176</v>
      </c>
    </row>
    <row r="42" spans="2:4" ht="22.5" x14ac:dyDescent="0.2">
      <c r="B42" s="49">
        <v>19</v>
      </c>
      <c r="C42" s="50" t="s">
        <v>124</v>
      </c>
      <c r="D42" s="50" t="s">
        <v>125</v>
      </c>
    </row>
    <row r="43" spans="2:4" x14ac:dyDescent="0.2">
      <c r="B43" s="49">
        <v>20</v>
      </c>
      <c r="C43" s="50" t="s">
        <v>127</v>
      </c>
      <c r="D43" s="50" t="s">
        <v>141</v>
      </c>
    </row>
  </sheetData>
  <mergeCells count="3">
    <mergeCell ref="B4:D4"/>
    <mergeCell ref="B2:D2"/>
    <mergeCell ref="B22:D2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12"/>
  <sheetViews>
    <sheetView zoomScale="130" zoomScaleNormal="130" workbookViewId="0">
      <selection activeCell="B2" sqref="B2:L2"/>
    </sheetView>
  </sheetViews>
  <sheetFormatPr baseColWidth="10" defaultColWidth="19.140625" defaultRowHeight="11.25" x14ac:dyDescent="0.2"/>
  <cols>
    <col min="1" max="1" width="7.7109375" style="2" customWidth="1"/>
    <col min="2" max="2" width="19.140625" style="2"/>
    <col min="3" max="3" width="7.42578125" style="2" bestFit="1" customWidth="1"/>
    <col min="4" max="4" width="6.85546875" style="2" bestFit="1" customWidth="1"/>
    <col min="5" max="5" width="7.42578125" style="2" bestFit="1" customWidth="1"/>
    <col min="6" max="6" width="6.140625" style="2" bestFit="1" customWidth="1"/>
    <col min="7" max="7" width="6.85546875" style="2" bestFit="1" customWidth="1"/>
    <col min="8" max="8" width="7.42578125" style="2" bestFit="1" customWidth="1"/>
    <col min="9" max="9" width="6.140625" style="2" bestFit="1" customWidth="1"/>
    <col min="10" max="10" width="6.85546875" style="2" bestFit="1" customWidth="1"/>
    <col min="11" max="11" width="7.42578125" style="2" bestFit="1" customWidth="1"/>
    <col min="12" max="12" width="6.140625" style="2" bestFit="1" customWidth="1"/>
    <col min="13" max="13" width="19.7109375" style="2" customWidth="1"/>
    <col min="14" max="14" width="3" style="2" customWidth="1"/>
    <col min="15" max="15" width="3.5703125" style="2" customWidth="1"/>
    <col min="16" max="16" width="7.140625" style="2" customWidth="1"/>
    <col min="17" max="16384" width="19.140625" style="2"/>
  </cols>
  <sheetData>
    <row r="2" spans="2:16" x14ac:dyDescent="0.2">
      <c r="B2" s="105" t="s">
        <v>54</v>
      </c>
      <c r="C2" s="105"/>
      <c r="D2" s="105"/>
      <c r="E2" s="105"/>
      <c r="F2" s="105"/>
      <c r="G2" s="105"/>
      <c r="H2" s="105"/>
      <c r="I2" s="105"/>
      <c r="J2" s="105"/>
      <c r="K2" s="105"/>
      <c r="L2" s="105"/>
      <c r="N2" s="105" t="s">
        <v>1</v>
      </c>
      <c r="O2" s="105"/>
      <c r="P2" s="105"/>
    </row>
    <row r="3" spans="2:16" x14ac:dyDescent="0.2">
      <c r="B3" s="107" t="s">
        <v>50</v>
      </c>
      <c r="C3" s="107"/>
      <c r="D3" s="108" t="s">
        <v>12</v>
      </c>
      <c r="E3" s="108"/>
      <c r="F3" s="108"/>
      <c r="G3" s="108" t="s">
        <v>11</v>
      </c>
      <c r="H3" s="108"/>
      <c r="I3" s="108"/>
      <c r="J3" s="108" t="s">
        <v>10</v>
      </c>
      <c r="K3" s="108"/>
      <c r="L3" s="108"/>
      <c r="N3" s="28">
        <v>1</v>
      </c>
      <c r="O3" s="28">
        <v>3</v>
      </c>
      <c r="P3" s="45" t="s">
        <v>61</v>
      </c>
    </row>
    <row r="4" spans="2:16" x14ac:dyDescent="0.2">
      <c r="B4" s="107" t="s">
        <v>56</v>
      </c>
      <c r="C4" s="107"/>
      <c r="D4" s="28" t="s">
        <v>55</v>
      </c>
      <c r="E4" s="28" t="s">
        <v>11</v>
      </c>
      <c r="F4" s="28" t="s">
        <v>10</v>
      </c>
      <c r="G4" s="28" t="s">
        <v>55</v>
      </c>
      <c r="H4" s="28" t="s">
        <v>11</v>
      </c>
      <c r="I4" s="28" t="s">
        <v>10</v>
      </c>
      <c r="J4" s="28" t="s">
        <v>55</v>
      </c>
      <c r="K4" s="28" t="s">
        <v>11</v>
      </c>
      <c r="L4" s="28" t="s">
        <v>10</v>
      </c>
      <c r="N4" s="28">
        <v>4</v>
      </c>
      <c r="O4" s="28">
        <v>8</v>
      </c>
      <c r="P4" s="46" t="s">
        <v>62</v>
      </c>
    </row>
    <row r="5" spans="2:16" ht="11.25" customHeight="1" x14ac:dyDescent="0.2">
      <c r="B5" s="94" t="s">
        <v>136</v>
      </c>
      <c r="C5" s="38" t="s">
        <v>55</v>
      </c>
      <c r="D5" s="42">
        <v>1</v>
      </c>
      <c r="E5" s="42">
        <v>2</v>
      </c>
      <c r="F5" s="42">
        <v>3</v>
      </c>
      <c r="G5" s="42">
        <v>2</v>
      </c>
      <c r="H5" s="43">
        <v>4</v>
      </c>
      <c r="I5" s="43">
        <v>6</v>
      </c>
      <c r="J5" s="42">
        <v>3</v>
      </c>
      <c r="K5" s="43">
        <v>6</v>
      </c>
      <c r="L5" s="44">
        <v>9</v>
      </c>
      <c r="N5" s="28">
        <v>9</v>
      </c>
      <c r="O5" s="28">
        <v>27</v>
      </c>
      <c r="P5" s="47" t="s">
        <v>63</v>
      </c>
    </row>
    <row r="6" spans="2:16" x14ac:dyDescent="0.2">
      <c r="B6" s="94"/>
      <c r="C6" s="38" t="s">
        <v>11</v>
      </c>
      <c r="D6" s="42">
        <v>2</v>
      </c>
      <c r="E6" s="43">
        <v>4</v>
      </c>
      <c r="F6" s="43">
        <v>6</v>
      </c>
      <c r="G6" s="43">
        <v>4</v>
      </c>
      <c r="H6" s="43">
        <v>8</v>
      </c>
      <c r="I6" s="44">
        <v>12</v>
      </c>
      <c r="J6" s="43">
        <v>6</v>
      </c>
      <c r="K6" s="44">
        <v>12</v>
      </c>
      <c r="L6" s="44">
        <v>18</v>
      </c>
    </row>
    <row r="7" spans="2:16" x14ac:dyDescent="0.2">
      <c r="B7" s="94"/>
      <c r="C7" s="38" t="s">
        <v>10</v>
      </c>
      <c r="D7" s="42">
        <v>3</v>
      </c>
      <c r="E7" s="43">
        <v>6</v>
      </c>
      <c r="F7" s="44">
        <v>9</v>
      </c>
      <c r="G7" s="43">
        <v>6</v>
      </c>
      <c r="H7" s="44">
        <v>12</v>
      </c>
      <c r="I7" s="44">
        <v>18</v>
      </c>
      <c r="J7" s="44">
        <v>9</v>
      </c>
      <c r="K7" s="44">
        <v>18</v>
      </c>
      <c r="L7" s="44">
        <v>27</v>
      </c>
    </row>
    <row r="9" spans="2:16" x14ac:dyDescent="0.2">
      <c r="B9" s="106" t="s">
        <v>2</v>
      </c>
      <c r="C9" s="106"/>
      <c r="D9" s="106"/>
      <c r="E9" s="106"/>
      <c r="F9" s="106"/>
      <c r="G9" s="106"/>
      <c r="H9" s="106"/>
      <c r="I9" s="106"/>
      <c r="J9" s="106"/>
      <c r="K9" s="106"/>
      <c r="L9" s="106"/>
    </row>
    <row r="10" spans="2:16" ht="42" customHeight="1" x14ac:dyDescent="0.2">
      <c r="B10" s="109" t="s">
        <v>137</v>
      </c>
      <c r="C10" s="109"/>
      <c r="D10" s="109"/>
      <c r="E10" s="109"/>
      <c r="F10" s="109"/>
      <c r="G10" s="109"/>
      <c r="H10" s="109"/>
      <c r="I10" s="109"/>
      <c r="J10" s="109"/>
      <c r="K10" s="109"/>
      <c r="L10" s="109"/>
    </row>
    <row r="11" spans="2:16" x14ac:dyDescent="0.2">
      <c r="B11" s="106" t="s">
        <v>52</v>
      </c>
      <c r="C11" s="106"/>
      <c r="D11" s="106"/>
      <c r="E11" s="106"/>
      <c r="F11" s="106"/>
      <c r="G11" s="106"/>
      <c r="H11" s="106"/>
      <c r="I11" s="106"/>
      <c r="J11" s="106"/>
      <c r="K11" s="106"/>
      <c r="L11" s="106"/>
    </row>
    <row r="12" spans="2:16" x14ac:dyDescent="0.2">
      <c r="B12" s="97" t="s">
        <v>53</v>
      </c>
      <c r="C12" s="97"/>
      <c r="D12" s="97"/>
      <c r="E12" s="97"/>
      <c r="F12" s="97"/>
      <c r="G12" s="97"/>
      <c r="H12" s="97"/>
      <c r="I12" s="97"/>
      <c r="J12" s="97"/>
      <c r="K12" s="97"/>
      <c r="L12" s="97"/>
    </row>
  </sheetData>
  <mergeCells count="12">
    <mergeCell ref="N2:P2"/>
    <mergeCell ref="B11:L11"/>
    <mergeCell ref="B12:L12"/>
    <mergeCell ref="B2:L2"/>
    <mergeCell ref="B4:C4"/>
    <mergeCell ref="B3:C3"/>
    <mergeCell ref="D3:F3"/>
    <mergeCell ref="G3:I3"/>
    <mergeCell ref="J3:L3"/>
    <mergeCell ref="B5:B7"/>
    <mergeCell ref="B9:L9"/>
    <mergeCell ref="B10:L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2:H6"/>
  <sheetViews>
    <sheetView zoomScale="115" zoomScaleNormal="115" workbookViewId="0">
      <selection activeCell="C2" sqref="C2:D2"/>
    </sheetView>
  </sheetViews>
  <sheetFormatPr baseColWidth="10" defaultRowHeight="12.75" x14ac:dyDescent="0.2"/>
  <cols>
    <col min="1" max="1" width="6.28515625" style="1" customWidth="1"/>
    <col min="2" max="2" width="3.42578125" style="1" customWidth="1"/>
    <col min="3" max="3" width="19.42578125" style="2" bestFit="1" customWidth="1"/>
    <col min="4" max="4" width="63.140625" style="2" customWidth="1"/>
    <col min="5" max="5" width="11.42578125" style="1"/>
    <col min="6" max="6" width="1.85546875" style="1" customWidth="1"/>
    <col min="7" max="7" width="2.7109375" style="1" customWidth="1"/>
    <col min="8" max="8" width="38.7109375" style="1" customWidth="1"/>
    <col min="9" max="16384" width="11.42578125" style="1"/>
  </cols>
  <sheetData>
    <row r="2" spans="3:8" s="6" customFormat="1" ht="13.5" customHeight="1" x14ac:dyDescent="0.2">
      <c r="C2" s="110" t="s">
        <v>7</v>
      </c>
      <c r="D2" s="110"/>
      <c r="F2" s="110" t="s">
        <v>64</v>
      </c>
      <c r="G2" s="110"/>
      <c r="H2" s="110"/>
    </row>
    <row r="3" spans="3:8" ht="45" x14ac:dyDescent="0.2">
      <c r="C3" s="23" t="s">
        <v>334</v>
      </c>
      <c r="D3" s="24" t="s">
        <v>332</v>
      </c>
      <c r="F3" s="38">
        <v>1</v>
      </c>
      <c r="G3" s="38">
        <v>3</v>
      </c>
      <c r="H3" s="40" t="s">
        <v>338</v>
      </c>
    </row>
    <row r="4" spans="3:8" ht="33.75" customHeight="1" x14ac:dyDescent="0.2">
      <c r="C4" s="23" t="s">
        <v>335</v>
      </c>
      <c r="D4" s="24" t="s">
        <v>57</v>
      </c>
      <c r="F4" s="38">
        <v>4</v>
      </c>
      <c r="G4" s="38">
        <v>27</v>
      </c>
      <c r="H4" s="41" t="s">
        <v>333</v>
      </c>
    </row>
    <row r="5" spans="3:8" ht="33.75" x14ac:dyDescent="0.2">
      <c r="C5" s="23" t="s">
        <v>336</v>
      </c>
      <c r="D5" s="24" t="s">
        <v>339</v>
      </c>
    </row>
    <row r="6" spans="3:8" ht="22.5" x14ac:dyDescent="0.2">
      <c r="C6" s="23" t="s">
        <v>337</v>
      </c>
      <c r="D6" s="24" t="s">
        <v>58</v>
      </c>
    </row>
  </sheetData>
  <mergeCells count="2">
    <mergeCell ref="C2:D2"/>
    <mergeCell ref="F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S79"/>
  <sheetViews>
    <sheetView topLeftCell="J2" zoomScale="115" zoomScaleNormal="115" workbookViewId="0">
      <selection activeCell="B2" sqref="B2:O2"/>
    </sheetView>
  </sheetViews>
  <sheetFormatPr baseColWidth="10" defaultRowHeight="11.25" x14ac:dyDescent="0.2"/>
  <cols>
    <col min="1" max="1" width="4" style="2" customWidth="1"/>
    <col min="2" max="2" width="7.42578125" style="2" customWidth="1"/>
    <col min="3" max="3" width="22.42578125" style="2" bestFit="1" customWidth="1"/>
    <col min="4" max="4" width="16.42578125" style="2" customWidth="1"/>
    <col min="5" max="5" width="22.5703125" style="2" customWidth="1"/>
    <col min="6" max="6" width="24.5703125" style="2" customWidth="1"/>
    <col min="7" max="7" width="26" style="2" bestFit="1" customWidth="1"/>
    <col min="8" max="8" width="23.28515625" style="2" customWidth="1"/>
    <col min="9" max="9" width="16.85546875" style="2" customWidth="1"/>
    <col min="10" max="10" width="20.85546875" style="8" customWidth="1"/>
    <col min="11" max="11" width="25.42578125" style="8" customWidth="1"/>
    <col min="12" max="12" width="5.7109375" style="8" customWidth="1"/>
    <col min="13" max="15" width="5.7109375" style="2" customWidth="1"/>
    <col min="16" max="17" width="11.42578125" style="2"/>
    <col min="18" max="18" width="25" style="2" customWidth="1"/>
    <col min="19" max="19" width="17.140625" style="2" customWidth="1"/>
    <col min="20" max="16384" width="11.42578125" style="2"/>
  </cols>
  <sheetData>
    <row r="2" spans="2:19" ht="20.25" customHeight="1" x14ac:dyDescent="0.2">
      <c r="B2" s="112" t="s">
        <v>27</v>
      </c>
      <c r="C2" s="112"/>
      <c r="D2" s="112"/>
      <c r="E2" s="112"/>
      <c r="F2" s="112"/>
      <c r="G2" s="112"/>
      <c r="H2" s="112"/>
      <c r="I2" s="112"/>
      <c r="J2" s="112"/>
      <c r="K2" s="112"/>
      <c r="L2" s="112"/>
      <c r="M2" s="112"/>
      <c r="N2" s="112"/>
      <c r="O2" s="112"/>
    </row>
    <row r="3" spans="2:19" x14ac:dyDescent="0.2">
      <c r="B3" s="113" t="s">
        <v>28</v>
      </c>
      <c r="C3" s="113"/>
      <c r="D3" s="113"/>
      <c r="E3" s="113"/>
      <c r="F3" s="113"/>
      <c r="G3" s="113"/>
      <c r="H3" s="113"/>
      <c r="I3" s="113"/>
      <c r="J3" s="113"/>
      <c r="K3" s="113"/>
      <c r="L3" s="113"/>
      <c r="M3" s="113"/>
    </row>
    <row r="4" spans="2:19" ht="25.5" customHeight="1" x14ac:dyDescent="0.2">
      <c r="B4" s="116" t="s">
        <v>19</v>
      </c>
      <c r="C4" s="116" t="s">
        <v>71</v>
      </c>
      <c r="D4" s="116" t="s">
        <v>72</v>
      </c>
      <c r="E4" s="111" t="s">
        <v>73</v>
      </c>
      <c r="F4" s="111" t="s">
        <v>74</v>
      </c>
      <c r="G4" s="111" t="s">
        <v>75</v>
      </c>
      <c r="H4" s="111" t="s">
        <v>76</v>
      </c>
      <c r="I4" s="111" t="s">
        <v>87</v>
      </c>
      <c r="J4" s="111" t="s">
        <v>147</v>
      </c>
      <c r="K4" s="111" t="s">
        <v>88</v>
      </c>
      <c r="L4" s="114" t="s">
        <v>77</v>
      </c>
      <c r="M4" s="114"/>
      <c r="N4" s="114"/>
      <c r="O4" s="114"/>
    </row>
    <row r="5" spans="2:19" ht="34.5" customHeight="1" x14ac:dyDescent="0.2">
      <c r="B5" s="116"/>
      <c r="C5" s="116"/>
      <c r="D5" s="116"/>
      <c r="E5" s="111"/>
      <c r="F5" s="111"/>
      <c r="G5" s="111"/>
      <c r="H5" s="111"/>
      <c r="I5" s="111"/>
      <c r="J5" s="111"/>
      <c r="K5" s="111"/>
      <c r="L5" s="115" t="s">
        <v>65</v>
      </c>
      <c r="M5" s="115"/>
      <c r="N5" s="115"/>
      <c r="O5" s="115"/>
    </row>
    <row r="6" spans="2:19" x14ac:dyDescent="0.2">
      <c r="B6" s="116"/>
      <c r="C6" s="116"/>
      <c r="D6" s="116"/>
      <c r="E6" s="111"/>
      <c r="F6" s="111"/>
      <c r="G6" s="111"/>
      <c r="H6" s="111"/>
      <c r="I6" s="111"/>
      <c r="J6" s="111"/>
      <c r="K6" s="111"/>
      <c r="L6" s="17" t="s">
        <v>4</v>
      </c>
      <c r="M6" s="17" t="s">
        <v>5</v>
      </c>
      <c r="N6" s="17" t="s">
        <v>6</v>
      </c>
      <c r="O6" s="17" t="s">
        <v>59</v>
      </c>
    </row>
    <row r="7" spans="2:19" ht="13.5" customHeight="1" x14ac:dyDescent="0.2">
      <c r="B7" s="22" t="s">
        <v>20</v>
      </c>
      <c r="C7" s="22" t="s">
        <v>386</v>
      </c>
      <c r="D7" s="22" t="s">
        <v>387</v>
      </c>
      <c r="E7" s="30" t="s">
        <v>9</v>
      </c>
      <c r="F7" s="91" t="s">
        <v>389</v>
      </c>
      <c r="G7" s="32" t="s">
        <v>388</v>
      </c>
      <c r="H7" s="30" t="s">
        <v>390</v>
      </c>
      <c r="I7" s="33" t="s">
        <v>151</v>
      </c>
      <c r="J7" s="34" t="s">
        <v>391</v>
      </c>
      <c r="K7" s="34" t="s">
        <v>392</v>
      </c>
      <c r="L7" s="33">
        <v>3</v>
      </c>
      <c r="M7" s="33">
        <v>3</v>
      </c>
      <c r="N7" s="33">
        <v>2</v>
      </c>
      <c r="O7" s="35">
        <f>(L7+M7+N7)/3</f>
        <v>2.6666666666666665</v>
      </c>
      <c r="P7" s="7"/>
      <c r="R7" s="58" t="s">
        <v>314</v>
      </c>
      <c r="S7" s="58" t="s">
        <v>315</v>
      </c>
    </row>
    <row r="8" spans="2:19" ht="13.5" customHeight="1" x14ac:dyDescent="0.2">
      <c r="B8" s="22" t="s">
        <v>21</v>
      </c>
      <c r="C8" s="22"/>
      <c r="D8" s="22"/>
      <c r="E8" s="30" t="s">
        <v>310</v>
      </c>
      <c r="F8" s="31" t="s">
        <v>361</v>
      </c>
      <c r="G8" s="32"/>
      <c r="H8" s="36"/>
      <c r="I8" s="33"/>
      <c r="J8" s="34"/>
      <c r="K8" s="34"/>
      <c r="L8" s="33">
        <v>3</v>
      </c>
      <c r="M8" s="33">
        <v>3</v>
      </c>
      <c r="N8" s="33">
        <v>2</v>
      </c>
      <c r="O8" s="35">
        <f t="shared" ref="O8:O15" si="0">(L8+M8+N8)/3</f>
        <v>2.6666666666666665</v>
      </c>
      <c r="P8" s="7"/>
      <c r="R8" s="59" t="s">
        <v>310</v>
      </c>
      <c r="S8" s="59" t="s">
        <v>86</v>
      </c>
    </row>
    <row r="9" spans="2:19" ht="13.5" customHeight="1" x14ac:dyDescent="0.2">
      <c r="B9" s="22" t="s">
        <v>22</v>
      </c>
      <c r="C9" s="22"/>
      <c r="D9" s="22"/>
      <c r="E9" s="30" t="s">
        <v>9</v>
      </c>
      <c r="F9" s="31" t="s">
        <v>362</v>
      </c>
      <c r="G9" s="32"/>
      <c r="H9" s="30"/>
      <c r="I9" s="33"/>
      <c r="J9" s="34"/>
      <c r="K9" s="34"/>
      <c r="L9" s="33">
        <v>3</v>
      </c>
      <c r="M9" s="33">
        <v>3</v>
      </c>
      <c r="N9" s="33">
        <v>2</v>
      </c>
      <c r="O9" s="35">
        <f t="shared" si="0"/>
        <v>2.6666666666666665</v>
      </c>
      <c r="P9" s="7"/>
      <c r="R9" s="59" t="s">
        <v>9</v>
      </c>
      <c r="S9" s="59" t="s">
        <v>151</v>
      </c>
    </row>
    <row r="10" spans="2:19" ht="13.5" customHeight="1" x14ac:dyDescent="0.2">
      <c r="B10" s="22" t="s">
        <v>23</v>
      </c>
      <c r="C10" s="22"/>
      <c r="D10" s="22"/>
      <c r="E10" s="30" t="s">
        <v>8</v>
      </c>
      <c r="F10" s="31" t="s">
        <v>363</v>
      </c>
      <c r="G10" s="32"/>
      <c r="H10" s="30"/>
      <c r="I10" s="33"/>
      <c r="J10" s="34"/>
      <c r="K10" s="34"/>
      <c r="L10" s="33">
        <v>3</v>
      </c>
      <c r="M10" s="33">
        <v>3</v>
      </c>
      <c r="N10" s="33">
        <v>2</v>
      </c>
      <c r="O10" s="35">
        <f t="shared" si="0"/>
        <v>2.6666666666666665</v>
      </c>
      <c r="P10" s="7"/>
      <c r="R10" s="59" t="s">
        <v>8</v>
      </c>
      <c r="S10" s="59" t="s">
        <v>152</v>
      </c>
    </row>
    <row r="11" spans="2:19" ht="13.5" customHeight="1" x14ac:dyDescent="0.2">
      <c r="B11" s="22" t="s">
        <v>24</v>
      </c>
      <c r="C11" s="22"/>
      <c r="D11" s="22"/>
      <c r="E11" s="30" t="s">
        <v>304</v>
      </c>
      <c r="F11" s="31" t="s">
        <v>364</v>
      </c>
      <c r="G11" s="32"/>
      <c r="H11" s="37"/>
      <c r="I11" s="33"/>
      <c r="J11" s="34"/>
      <c r="K11" s="34"/>
      <c r="L11" s="33">
        <v>3</v>
      </c>
      <c r="M11" s="33">
        <v>3</v>
      </c>
      <c r="N11" s="33">
        <v>2</v>
      </c>
      <c r="O11" s="35">
        <f t="shared" si="0"/>
        <v>2.6666666666666665</v>
      </c>
      <c r="P11" s="7"/>
      <c r="R11" s="59" t="s">
        <v>304</v>
      </c>
      <c r="S11" s="59" t="s">
        <v>153</v>
      </c>
    </row>
    <row r="12" spans="2:19" ht="13.5" customHeight="1" x14ac:dyDescent="0.2">
      <c r="B12" s="22" t="s">
        <v>25</v>
      </c>
      <c r="C12" s="22"/>
      <c r="D12" s="22"/>
      <c r="E12" s="30" t="s">
        <v>283</v>
      </c>
      <c r="F12" s="31" t="s">
        <v>365</v>
      </c>
      <c r="G12" s="32"/>
      <c r="H12" s="37"/>
      <c r="I12" s="33"/>
      <c r="J12" s="34"/>
      <c r="K12" s="34"/>
      <c r="L12" s="33">
        <v>3</v>
      </c>
      <c r="M12" s="33">
        <v>3</v>
      </c>
      <c r="N12" s="33">
        <v>2</v>
      </c>
      <c r="O12" s="35">
        <f t="shared" si="0"/>
        <v>2.6666666666666665</v>
      </c>
      <c r="P12" s="7"/>
      <c r="R12" s="59" t="s">
        <v>283</v>
      </c>
      <c r="S12" s="59" t="s">
        <v>154</v>
      </c>
    </row>
    <row r="13" spans="2:19" ht="13.5" customHeight="1" x14ac:dyDescent="0.2">
      <c r="B13" s="22" t="s">
        <v>26</v>
      </c>
      <c r="C13" s="22"/>
      <c r="D13" s="22"/>
      <c r="E13" s="30" t="s">
        <v>307</v>
      </c>
      <c r="F13" s="31" t="s">
        <v>366</v>
      </c>
      <c r="G13" s="24"/>
      <c r="H13" s="24"/>
      <c r="I13" s="33"/>
      <c r="J13" s="24"/>
      <c r="K13" s="24"/>
      <c r="L13" s="33">
        <v>3</v>
      </c>
      <c r="M13" s="33">
        <v>3</v>
      </c>
      <c r="N13" s="33">
        <v>2</v>
      </c>
      <c r="O13" s="35">
        <f t="shared" si="0"/>
        <v>2.6666666666666665</v>
      </c>
      <c r="P13" s="7"/>
      <c r="R13" s="59" t="s">
        <v>307</v>
      </c>
      <c r="S13" s="59" t="s">
        <v>155</v>
      </c>
    </row>
    <row r="14" spans="2:19" ht="13.5" customHeight="1" x14ac:dyDescent="0.2">
      <c r="B14" s="22" t="s">
        <v>148</v>
      </c>
      <c r="C14" s="22"/>
      <c r="D14" s="38"/>
      <c r="E14" s="30" t="s">
        <v>150</v>
      </c>
      <c r="F14" s="31" t="s">
        <v>367</v>
      </c>
      <c r="G14" s="24"/>
      <c r="H14" s="24"/>
      <c r="I14" s="33"/>
      <c r="J14" s="24"/>
      <c r="K14" s="24"/>
      <c r="L14" s="33">
        <v>3</v>
      </c>
      <c r="M14" s="33">
        <v>3</v>
      </c>
      <c r="N14" s="33">
        <v>2</v>
      </c>
      <c r="O14" s="35">
        <f t="shared" si="0"/>
        <v>2.6666666666666665</v>
      </c>
      <c r="P14" s="7"/>
      <c r="R14" s="59" t="s">
        <v>150</v>
      </c>
      <c r="S14" s="59"/>
    </row>
    <row r="15" spans="2:19" ht="13.5" customHeight="1" x14ac:dyDescent="0.2">
      <c r="B15" s="22" t="s">
        <v>149</v>
      </c>
      <c r="C15" s="22"/>
      <c r="D15" s="38"/>
      <c r="E15" s="30" t="s">
        <v>310</v>
      </c>
      <c r="F15" s="31" t="s">
        <v>368</v>
      </c>
      <c r="G15" s="24"/>
      <c r="H15" s="24"/>
      <c r="I15" s="33"/>
      <c r="J15" s="24"/>
      <c r="K15" s="24"/>
      <c r="L15" s="33">
        <v>3</v>
      </c>
      <c r="M15" s="33">
        <v>3</v>
      </c>
      <c r="N15" s="33">
        <v>2</v>
      </c>
      <c r="O15" s="35">
        <f t="shared" si="0"/>
        <v>2.6666666666666665</v>
      </c>
      <c r="P15" s="7"/>
      <c r="R15" s="60"/>
      <c r="S15" s="60"/>
    </row>
    <row r="16" spans="2:19" ht="13.5" customHeight="1" x14ac:dyDescent="0.2">
      <c r="B16" s="22" t="s">
        <v>340</v>
      </c>
      <c r="C16" s="22"/>
      <c r="D16" s="38"/>
      <c r="E16" s="30" t="s">
        <v>9</v>
      </c>
      <c r="F16" s="31" t="s">
        <v>369</v>
      </c>
      <c r="G16" s="24"/>
      <c r="H16" s="24"/>
      <c r="I16" s="33"/>
      <c r="J16" s="24"/>
      <c r="K16" s="24"/>
      <c r="L16" s="33">
        <v>3</v>
      </c>
      <c r="M16" s="33">
        <v>3</v>
      </c>
      <c r="N16" s="33">
        <v>2</v>
      </c>
      <c r="O16" s="35">
        <f t="shared" ref="O16:O26" si="1">(L16+M16+N16)/3</f>
        <v>2.6666666666666665</v>
      </c>
    </row>
    <row r="17" spans="2:15" ht="13.5" customHeight="1" x14ac:dyDescent="0.2">
      <c r="B17" s="22" t="s">
        <v>341</v>
      </c>
      <c r="C17" s="22"/>
      <c r="D17" s="38"/>
      <c r="E17" s="30" t="s">
        <v>8</v>
      </c>
      <c r="F17" s="31" t="s">
        <v>370</v>
      </c>
      <c r="G17" s="24"/>
      <c r="H17" s="24"/>
      <c r="I17" s="33"/>
      <c r="J17" s="24"/>
      <c r="K17" s="24"/>
      <c r="L17" s="33">
        <v>3</v>
      </c>
      <c r="M17" s="33">
        <v>3</v>
      </c>
      <c r="N17" s="33">
        <v>2</v>
      </c>
      <c r="O17" s="35">
        <f t="shared" si="1"/>
        <v>2.6666666666666665</v>
      </c>
    </row>
    <row r="18" spans="2:15" ht="13.5" customHeight="1" x14ac:dyDescent="0.2">
      <c r="B18" s="22" t="s">
        <v>342</v>
      </c>
      <c r="C18" s="22"/>
      <c r="D18" s="38"/>
      <c r="E18" s="30" t="s">
        <v>304</v>
      </c>
      <c r="F18" s="31" t="s">
        <v>371</v>
      </c>
      <c r="G18" s="24"/>
      <c r="H18" s="24"/>
      <c r="I18" s="33"/>
      <c r="J18" s="24"/>
      <c r="K18" s="24"/>
      <c r="L18" s="33">
        <v>1</v>
      </c>
      <c r="M18" s="33">
        <v>1</v>
      </c>
      <c r="N18" s="33">
        <v>2</v>
      </c>
      <c r="O18" s="35">
        <f t="shared" si="1"/>
        <v>1.3333333333333333</v>
      </c>
    </row>
    <row r="19" spans="2:15" ht="13.5" customHeight="1" x14ac:dyDescent="0.2">
      <c r="B19" s="22" t="s">
        <v>343</v>
      </c>
      <c r="C19" s="22"/>
      <c r="D19" s="38"/>
      <c r="E19" s="30" t="s">
        <v>283</v>
      </c>
      <c r="F19" s="31" t="s">
        <v>372</v>
      </c>
      <c r="G19" s="24"/>
      <c r="H19" s="24"/>
      <c r="I19" s="33"/>
      <c r="J19" s="24"/>
      <c r="K19" s="24"/>
      <c r="L19" s="33">
        <v>2</v>
      </c>
      <c r="M19" s="33">
        <v>1</v>
      </c>
      <c r="N19" s="33">
        <v>2</v>
      </c>
      <c r="O19" s="35">
        <f t="shared" si="1"/>
        <v>1.6666666666666667</v>
      </c>
    </row>
    <row r="20" spans="2:15" ht="13.5" customHeight="1" x14ac:dyDescent="0.2">
      <c r="B20" s="22" t="s">
        <v>344</v>
      </c>
      <c r="C20" s="22"/>
      <c r="D20" s="38"/>
      <c r="E20" s="30" t="s">
        <v>307</v>
      </c>
      <c r="F20" s="31" t="s">
        <v>373</v>
      </c>
      <c r="G20" s="24"/>
      <c r="H20" s="24"/>
      <c r="I20" s="33"/>
      <c r="J20" s="24"/>
      <c r="K20" s="24"/>
      <c r="L20" s="33">
        <v>2</v>
      </c>
      <c r="M20" s="33">
        <v>1</v>
      </c>
      <c r="N20" s="33">
        <v>2</v>
      </c>
      <c r="O20" s="35">
        <f t="shared" si="1"/>
        <v>1.6666666666666667</v>
      </c>
    </row>
    <row r="21" spans="2:15" ht="13.5" customHeight="1" x14ac:dyDescent="0.2">
      <c r="B21" s="22" t="s">
        <v>345</v>
      </c>
      <c r="C21" s="22"/>
      <c r="D21" s="38"/>
      <c r="E21" s="30" t="s">
        <v>150</v>
      </c>
      <c r="F21" s="31" t="s">
        <v>374</v>
      </c>
      <c r="G21" s="24"/>
      <c r="H21" s="24"/>
      <c r="I21" s="33"/>
      <c r="J21" s="24"/>
      <c r="K21" s="24"/>
      <c r="L21" s="33">
        <v>2</v>
      </c>
      <c r="M21" s="33">
        <v>1</v>
      </c>
      <c r="N21" s="33">
        <v>2</v>
      </c>
      <c r="O21" s="35">
        <f t="shared" si="1"/>
        <v>1.6666666666666667</v>
      </c>
    </row>
    <row r="22" spans="2:15" ht="13.5" customHeight="1" x14ac:dyDescent="0.2">
      <c r="B22" s="22" t="s">
        <v>346</v>
      </c>
      <c r="C22" s="22"/>
      <c r="D22" s="38"/>
      <c r="E22" s="30" t="s">
        <v>310</v>
      </c>
      <c r="F22" s="31" t="s">
        <v>375</v>
      </c>
      <c r="G22" s="24"/>
      <c r="H22" s="24"/>
      <c r="I22" s="33"/>
      <c r="J22" s="24"/>
      <c r="K22" s="24"/>
      <c r="L22" s="33">
        <v>2</v>
      </c>
      <c r="M22" s="33">
        <v>1</v>
      </c>
      <c r="N22" s="33">
        <v>1</v>
      </c>
      <c r="O22" s="35">
        <f t="shared" si="1"/>
        <v>1.3333333333333333</v>
      </c>
    </row>
    <row r="23" spans="2:15" ht="13.5" customHeight="1" x14ac:dyDescent="0.2">
      <c r="B23" s="22" t="s">
        <v>347</v>
      </c>
      <c r="C23" s="22"/>
      <c r="D23" s="38"/>
      <c r="E23" s="30" t="s">
        <v>9</v>
      </c>
      <c r="F23" s="31" t="s">
        <v>376</v>
      </c>
      <c r="G23" s="24"/>
      <c r="H23" s="24"/>
      <c r="I23" s="33"/>
      <c r="J23" s="24"/>
      <c r="K23" s="24"/>
      <c r="L23" s="33">
        <v>2</v>
      </c>
      <c r="M23" s="33">
        <v>1</v>
      </c>
      <c r="N23" s="33">
        <v>1</v>
      </c>
      <c r="O23" s="35">
        <f t="shared" si="1"/>
        <v>1.3333333333333333</v>
      </c>
    </row>
    <row r="24" spans="2:15" ht="13.5" customHeight="1" x14ac:dyDescent="0.2">
      <c r="B24" s="22" t="s">
        <v>348</v>
      </c>
      <c r="C24" s="22"/>
      <c r="D24" s="38"/>
      <c r="E24" s="30" t="s">
        <v>8</v>
      </c>
      <c r="F24" s="31" t="s">
        <v>377</v>
      </c>
      <c r="G24" s="24"/>
      <c r="H24" s="24"/>
      <c r="I24" s="33"/>
      <c r="J24" s="24"/>
      <c r="K24" s="24"/>
      <c r="L24" s="33">
        <v>2</v>
      </c>
      <c r="M24" s="33">
        <v>1</v>
      </c>
      <c r="N24" s="33">
        <v>1</v>
      </c>
      <c r="O24" s="35">
        <f t="shared" si="1"/>
        <v>1.3333333333333333</v>
      </c>
    </row>
    <row r="25" spans="2:15" ht="13.5" customHeight="1" x14ac:dyDescent="0.2">
      <c r="B25" s="22" t="s">
        <v>349</v>
      </c>
      <c r="C25" s="22"/>
      <c r="D25" s="38"/>
      <c r="E25" s="30" t="s">
        <v>304</v>
      </c>
      <c r="F25" s="31" t="s">
        <v>378</v>
      </c>
      <c r="G25" s="24"/>
      <c r="H25" s="24"/>
      <c r="I25" s="33"/>
      <c r="J25" s="24"/>
      <c r="K25" s="24"/>
      <c r="L25" s="33">
        <v>2</v>
      </c>
      <c r="M25" s="33">
        <v>1</v>
      </c>
      <c r="N25" s="33">
        <v>1</v>
      </c>
      <c r="O25" s="35">
        <f t="shared" si="1"/>
        <v>1.3333333333333333</v>
      </c>
    </row>
    <row r="26" spans="2:15" ht="13.5" customHeight="1" x14ac:dyDescent="0.2">
      <c r="B26" s="22" t="s">
        <v>350</v>
      </c>
      <c r="C26" s="22"/>
      <c r="D26" s="38"/>
      <c r="E26" s="30" t="s">
        <v>283</v>
      </c>
      <c r="F26" s="31" t="s">
        <v>379</v>
      </c>
      <c r="G26" s="24"/>
      <c r="H26" s="24"/>
      <c r="I26" s="33"/>
      <c r="J26" s="24"/>
      <c r="K26" s="24"/>
      <c r="L26" s="33">
        <v>2</v>
      </c>
      <c r="M26" s="33">
        <v>1</v>
      </c>
      <c r="N26" s="33">
        <v>1</v>
      </c>
      <c r="O26" s="35">
        <f t="shared" si="1"/>
        <v>1.3333333333333333</v>
      </c>
    </row>
    <row r="27" spans="2:15" ht="13.5" customHeight="1" x14ac:dyDescent="0.2">
      <c r="B27" s="22" t="s">
        <v>351</v>
      </c>
      <c r="C27" s="22"/>
      <c r="D27" s="22"/>
      <c r="E27" s="30" t="s">
        <v>307</v>
      </c>
      <c r="F27" s="31" t="s">
        <v>380</v>
      </c>
      <c r="G27" s="32"/>
      <c r="H27" s="30"/>
      <c r="I27" s="33"/>
      <c r="J27" s="34"/>
      <c r="K27" s="34"/>
      <c r="L27" s="33">
        <v>2</v>
      </c>
      <c r="M27" s="33">
        <v>1</v>
      </c>
      <c r="N27" s="33">
        <v>1</v>
      </c>
      <c r="O27" s="35">
        <f>(L27+M27+N27)/3</f>
        <v>1.3333333333333333</v>
      </c>
    </row>
    <row r="28" spans="2:15" ht="13.5" customHeight="1" x14ac:dyDescent="0.2">
      <c r="B28" s="22" t="s">
        <v>352</v>
      </c>
      <c r="C28" s="22"/>
      <c r="D28" s="22"/>
      <c r="E28" s="30" t="s">
        <v>150</v>
      </c>
      <c r="F28" s="31" t="s">
        <v>381</v>
      </c>
      <c r="G28" s="32"/>
      <c r="H28" s="36"/>
      <c r="I28" s="33"/>
      <c r="J28" s="34"/>
      <c r="K28" s="34"/>
      <c r="L28" s="33">
        <v>2</v>
      </c>
      <c r="M28" s="33">
        <v>1</v>
      </c>
      <c r="N28" s="33">
        <v>1</v>
      </c>
      <c r="O28" s="35">
        <f t="shared" ref="O28:O30" si="2">(L28+M28+N28)/3</f>
        <v>1.3333333333333333</v>
      </c>
    </row>
    <row r="29" spans="2:15" ht="13.5" customHeight="1" x14ac:dyDescent="0.2">
      <c r="B29" s="22" t="s">
        <v>353</v>
      </c>
      <c r="C29" s="22"/>
      <c r="D29" s="22"/>
      <c r="E29" s="30" t="s">
        <v>310</v>
      </c>
      <c r="F29" s="31" t="s">
        <v>382</v>
      </c>
      <c r="G29" s="32"/>
      <c r="H29" s="30"/>
      <c r="I29" s="33"/>
      <c r="J29" s="34"/>
      <c r="K29" s="34"/>
      <c r="L29" s="33">
        <v>2</v>
      </c>
      <c r="M29" s="33">
        <v>1</v>
      </c>
      <c r="N29" s="33">
        <v>1</v>
      </c>
      <c r="O29" s="35">
        <f t="shared" si="2"/>
        <v>1.3333333333333333</v>
      </c>
    </row>
    <row r="30" spans="2:15" ht="13.5" customHeight="1" x14ac:dyDescent="0.2">
      <c r="B30" s="22" t="s">
        <v>354</v>
      </c>
      <c r="C30" s="22"/>
      <c r="D30" s="22"/>
      <c r="E30" s="30" t="s">
        <v>9</v>
      </c>
      <c r="F30" s="31" t="s">
        <v>383</v>
      </c>
      <c r="G30" s="32"/>
      <c r="H30" s="30"/>
      <c r="I30" s="33"/>
      <c r="J30" s="34"/>
      <c r="K30" s="34"/>
      <c r="L30" s="33">
        <v>3</v>
      </c>
      <c r="M30" s="33">
        <v>1</v>
      </c>
      <c r="N30" s="33">
        <v>1</v>
      </c>
      <c r="O30" s="35">
        <f t="shared" si="2"/>
        <v>1.6666666666666667</v>
      </c>
    </row>
    <row r="31" spans="2:15" ht="13.5" customHeight="1" x14ac:dyDescent="0.2">
      <c r="B31" s="22" t="s">
        <v>355</v>
      </c>
      <c r="C31" s="22"/>
      <c r="D31" s="22"/>
      <c r="E31" s="30" t="s">
        <v>8</v>
      </c>
      <c r="F31" s="31" t="s">
        <v>384</v>
      </c>
      <c r="G31" s="32"/>
      <c r="H31" s="30"/>
      <c r="I31" s="33"/>
      <c r="J31" s="34"/>
      <c r="K31" s="34"/>
      <c r="L31" s="33">
        <v>3</v>
      </c>
      <c r="M31" s="33">
        <v>1</v>
      </c>
      <c r="N31" s="33">
        <v>1</v>
      </c>
      <c r="O31" s="35">
        <f>(L31+M31+N31)/3</f>
        <v>1.6666666666666667</v>
      </c>
    </row>
    <row r="32" spans="2:15" ht="13.5" customHeight="1" x14ac:dyDescent="0.2">
      <c r="B32" s="22" t="s">
        <v>356</v>
      </c>
      <c r="C32" s="22"/>
      <c r="D32" s="22"/>
      <c r="E32" s="30" t="s">
        <v>304</v>
      </c>
      <c r="F32" s="31" t="s">
        <v>385</v>
      </c>
      <c r="G32" s="32"/>
      <c r="H32" s="36"/>
      <c r="I32" s="33"/>
      <c r="J32" s="34"/>
      <c r="K32" s="34"/>
      <c r="L32" s="33">
        <v>3</v>
      </c>
      <c r="M32" s="33">
        <v>1</v>
      </c>
      <c r="N32" s="33">
        <v>1</v>
      </c>
      <c r="O32" s="35">
        <f t="shared" ref="O32" si="3">(L32+M32+N32)/3</f>
        <v>1.6666666666666667</v>
      </c>
    </row>
    <row r="33" spans="2:15" ht="25.5" customHeight="1" x14ac:dyDescent="0.2">
      <c r="B33" s="8"/>
      <c r="C33" s="8"/>
      <c r="D33" s="8"/>
      <c r="E33" s="9"/>
      <c r="F33" s="16"/>
      <c r="G33" s="9"/>
      <c r="H33" s="10"/>
      <c r="I33" s="10"/>
      <c r="J33" s="10"/>
      <c r="K33" s="10"/>
      <c r="M33" s="8"/>
      <c r="N33" s="8"/>
      <c r="O33" s="8" t="str">
        <f t="shared" ref="O33:O44" si="4">IF(MAX(L33:N33)=0," ",MAX(L33:N33))</f>
        <v xml:space="preserve"> </v>
      </c>
    </row>
    <row r="34" spans="2:15" ht="25.5" customHeight="1" x14ac:dyDescent="0.2">
      <c r="B34" s="8"/>
      <c r="C34" s="8"/>
      <c r="D34" s="8"/>
      <c r="E34" s="9"/>
      <c r="F34" s="16"/>
      <c r="G34" s="9"/>
      <c r="H34" s="10"/>
      <c r="I34" s="10"/>
      <c r="J34" s="10"/>
      <c r="K34" s="10"/>
      <c r="M34" s="8"/>
      <c r="N34" s="8"/>
      <c r="O34" s="8" t="str">
        <f t="shared" si="4"/>
        <v xml:space="preserve"> </v>
      </c>
    </row>
    <row r="35" spans="2:15" ht="25.5" customHeight="1" x14ac:dyDescent="0.2">
      <c r="B35" s="8"/>
      <c r="C35" s="8"/>
      <c r="D35" s="8"/>
      <c r="E35" s="9"/>
      <c r="F35" s="16"/>
      <c r="G35" s="9"/>
      <c r="H35" s="10"/>
      <c r="I35" s="10"/>
      <c r="J35" s="10"/>
      <c r="K35" s="10"/>
      <c r="M35" s="8"/>
      <c r="N35" s="8"/>
      <c r="O35" s="8" t="str">
        <f t="shared" si="4"/>
        <v xml:space="preserve"> </v>
      </c>
    </row>
    <row r="36" spans="2:15" ht="25.5" customHeight="1" x14ac:dyDescent="0.2">
      <c r="B36" s="8"/>
      <c r="C36" s="8"/>
      <c r="D36" s="8"/>
      <c r="E36" s="9"/>
      <c r="F36" s="16"/>
      <c r="G36" s="9"/>
      <c r="H36" s="10"/>
      <c r="I36" s="10"/>
      <c r="J36" s="10"/>
      <c r="K36" s="10"/>
      <c r="M36" s="8"/>
      <c r="N36" s="8"/>
      <c r="O36" s="8" t="str">
        <f t="shared" si="4"/>
        <v xml:space="preserve"> </v>
      </c>
    </row>
    <row r="37" spans="2:15" ht="25.5" customHeight="1" x14ac:dyDescent="0.2">
      <c r="B37" s="8"/>
      <c r="C37" s="8"/>
      <c r="D37" s="8"/>
      <c r="E37" s="9"/>
      <c r="F37" s="16"/>
      <c r="G37" s="9"/>
      <c r="H37" s="10"/>
      <c r="I37" s="10"/>
      <c r="J37" s="10"/>
      <c r="K37" s="10"/>
      <c r="M37" s="8"/>
      <c r="N37" s="8"/>
      <c r="O37" s="8" t="str">
        <f t="shared" si="4"/>
        <v xml:space="preserve"> </v>
      </c>
    </row>
    <row r="38" spans="2:15" ht="25.5" customHeight="1" x14ac:dyDescent="0.2">
      <c r="B38" s="8"/>
      <c r="C38" s="8"/>
      <c r="D38" s="8"/>
      <c r="E38" s="9"/>
      <c r="F38" s="16"/>
      <c r="G38" s="9"/>
      <c r="H38" s="10"/>
      <c r="I38" s="10"/>
      <c r="J38" s="10"/>
      <c r="K38" s="10"/>
      <c r="M38" s="8"/>
      <c r="N38" s="8"/>
      <c r="O38" s="8" t="str">
        <f t="shared" si="4"/>
        <v xml:space="preserve"> </v>
      </c>
    </row>
    <row r="39" spans="2:15" ht="25.5" customHeight="1" x14ac:dyDescent="0.2">
      <c r="B39" s="8"/>
      <c r="C39" s="8"/>
      <c r="D39" s="8"/>
      <c r="E39" s="9"/>
      <c r="F39" s="16"/>
      <c r="G39" s="9"/>
      <c r="H39" s="10"/>
      <c r="I39" s="10"/>
      <c r="J39" s="10"/>
      <c r="K39" s="10"/>
      <c r="M39" s="8"/>
      <c r="N39" s="8"/>
      <c r="O39" s="8" t="str">
        <f t="shared" si="4"/>
        <v xml:space="preserve"> </v>
      </c>
    </row>
    <row r="40" spans="2:15" ht="25.5" customHeight="1" x14ac:dyDescent="0.2">
      <c r="B40" s="8"/>
      <c r="C40" s="8"/>
      <c r="D40" s="8"/>
      <c r="E40" s="9"/>
      <c r="F40" s="16"/>
      <c r="G40" s="9"/>
      <c r="H40" s="10"/>
      <c r="I40" s="10"/>
      <c r="J40" s="10"/>
      <c r="K40" s="10"/>
      <c r="M40" s="8"/>
      <c r="N40" s="8"/>
      <c r="O40" s="8" t="str">
        <f t="shared" si="4"/>
        <v xml:space="preserve"> </v>
      </c>
    </row>
    <row r="41" spans="2:15" ht="25.5" customHeight="1" x14ac:dyDescent="0.2">
      <c r="B41" s="8"/>
      <c r="C41" s="8"/>
      <c r="D41" s="8"/>
      <c r="E41" s="9"/>
      <c r="F41" s="16"/>
      <c r="G41" s="9"/>
      <c r="H41" s="10"/>
      <c r="I41" s="10"/>
      <c r="J41" s="10"/>
      <c r="K41" s="10"/>
      <c r="M41" s="8"/>
      <c r="N41" s="8"/>
      <c r="O41" s="8" t="str">
        <f t="shared" si="4"/>
        <v xml:space="preserve"> </v>
      </c>
    </row>
    <row r="42" spans="2:15" ht="25.5" customHeight="1" x14ac:dyDescent="0.2">
      <c r="B42" s="8"/>
      <c r="C42" s="8"/>
      <c r="D42" s="8"/>
      <c r="E42" s="9"/>
      <c r="F42" s="16"/>
      <c r="G42" s="9"/>
      <c r="H42" s="10"/>
      <c r="I42" s="10"/>
      <c r="J42" s="10"/>
      <c r="K42" s="10"/>
      <c r="M42" s="8"/>
      <c r="N42" s="8"/>
      <c r="O42" s="8" t="str">
        <f t="shared" si="4"/>
        <v xml:space="preserve"> </v>
      </c>
    </row>
    <row r="43" spans="2:15" ht="25.5" customHeight="1" x14ac:dyDescent="0.2">
      <c r="B43" s="8"/>
      <c r="C43" s="8"/>
      <c r="D43" s="8"/>
      <c r="E43" s="9"/>
      <c r="F43" s="16"/>
      <c r="G43" s="9"/>
      <c r="H43" s="10"/>
      <c r="I43" s="10"/>
      <c r="J43" s="10"/>
      <c r="K43" s="10"/>
      <c r="M43" s="8"/>
      <c r="N43" s="8"/>
      <c r="O43" s="8" t="str">
        <f t="shared" si="4"/>
        <v xml:space="preserve"> </v>
      </c>
    </row>
    <row r="44" spans="2:15" ht="25.5" customHeight="1" x14ac:dyDescent="0.2">
      <c r="B44" s="8"/>
      <c r="C44" s="8"/>
      <c r="D44" s="8"/>
      <c r="E44" s="9"/>
      <c r="F44" s="16"/>
      <c r="G44" s="9"/>
      <c r="H44" s="10"/>
      <c r="I44" s="10"/>
      <c r="J44" s="10"/>
      <c r="K44" s="10"/>
      <c r="M44" s="8"/>
      <c r="N44" s="8"/>
      <c r="O44" s="8" t="str">
        <f t="shared" si="4"/>
        <v xml:space="preserve"> </v>
      </c>
    </row>
    <row r="45" spans="2:15" ht="25.5" customHeight="1" x14ac:dyDescent="0.2">
      <c r="B45" s="8"/>
      <c r="C45" s="8"/>
      <c r="D45" s="8"/>
      <c r="E45" s="9"/>
      <c r="F45" s="16"/>
      <c r="G45" s="9"/>
      <c r="H45" s="10"/>
      <c r="I45" s="10"/>
      <c r="J45" s="10"/>
      <c r="K45" s="10"/>
      <c r="M45" s="8"/>
      <c r="N45" s="8"/>
      <c r="O45" s="8" t="str">
        <f t="shared" ref="O45:O79" si="5">IF(MAX(L45:N45)=0," ",MAX(L45:N45))</f>
        <v xml:space="preserve"> </v>
      </c>
    </row>
    <row r="46" spans="2:15" ht="25.5" customHeight="1" x14ac:dyDescent="0.2">
      <c r="B46" s="8"/>
      <c r="C46" s="8"/>
      <c r="D46" s="8"/>
      <c r="E46" s="9"/>
      <c r="F46" s="16"/>
      <c r="G46" s="9"/>
      <c r="H46" s="10"/>
      <c r="I46" s="10"/>
      <c r="J46" s="10"/>
      <c r="K46" s="10"/>
      <c r="M46" s="8"/>
      <c r="N46" s="8"/>
      <c r="O46" s="8" t="str">
        <f t="shared" si="5"/>
        <v xml:space="preserve"> </v>
      </c>
    </row>
    <row r="47" spans="2:15" ht="25.5" customHeight="1" x14ac:dyDescent="0.2">
      <c r="B47" s="8"/>
      <c r="C47" s="8"/>
      <c r="D47" s="8"/>
      <c r="E47" s="9"/>
      <c r="F47" s="16"/>
      <c r="G47" s="9"/>
      <c r="H47" s="10"/>
      <c r="I47" s="10"/>
      <c r="J47" s="10"/>
      <c r="K47" s="10"/>
      <c r="M47" s="8"/>
      <c r="N47" s="8"/>
      <c r="O47" s="8" t="str">
        <f t="shared" si="5"/>
        <v xml:space="preserve"> </v>
      </c>
    </row>
    <row r="48" spans="2:15" ht="25.5" customHeight="1" x14ac:dyDescent="0.2">
      <c r="B48" s="8"/>
      <c r="C48" s="8"/>
      <c r="D48" s="8"/>
      <c r="E48" s="9"/>
      <c r="F48" s="16"/>
      <c r="G48" s="9"/>
      <c r="H48" s="10"/>
      <c r="I48" s="10"/>
      <c r="J48" s="10"/>
      <c r="K48" s="10"/>
      <c r="M48" s="8"/>
      <c r="N48" s="8"/>
      <c r="O48" s="8" t="str">
        <f t="shared" si="5"/>
        <v xml:space="preserve"> </v>
      </c>
    </row>
    <row r="49" spans="2:15" ht="25.5" customHeight="1" x14ac:dyDescent="0.2">
      <c r="B49" s="8"/>
      <c r="C49" s="8"/>
      <c r="D49" s="8"/>
      <c r="E49" s="9"/>
      <c r="F49" s="16"/>
      <c r="G49" s="9"/>
      <c r="H49" s="10"/>
      <c r="I49" s="10"/>
      <c r="J49" s="10"/>
      <c r="K49" s="10"/>
      <c r="M49" s="8"/>
      <c r="N49" s="8"/>
      <c r="O49" s="8" t="str">
        <f t="shared" si="5"/>
        <v xml:space="preserve"> </v>
      </c>
    </row>
    <row r="50" spans="2:15" ht="25.5" customHeight="1" x14ac:dyDescent="0.2">
      <c r="B50" s="8"/>
      <c r="C50" s="8"/>
      <c r="D50" s="8"/>
      <c r="E50" s="9"/>
      <c r="F50" s="16"/>
      <c r="G50" s="9"/>
      <c r="H50" s="10"/>
      <c r="I50" s="10"/>
      <c r="J50" s="10"/>
      <c r="K50" s="10"/>
      <c r="M50" s="8"/>
      <c r="N50" s="8"/>
      <c r="O50" s="8" t="str">
        <f t="shared" si="5"/>
        <v xml:space="preserve"> </v>
      </c>
    </row>
    <row r="51" spans="2:15" ht="25.5" customHeight="1" x14ac:dyDescent="0.2">
      <c r="B51" s="8"/>
      <c r="C51" s="8"/>
      <c r="D51" s="8"/>
      <c r="E51" s="9"/>
      <c r="F51" s="16"/>
      <c r="G51" s="9"/>
      <c r="H51" s="10"/>
      <c r="I51" s="10"/>
      <c r="J51" s="10"/>
      <c r="K51" s="10"/>
      <c r="M51" s="8"/>
      <c r="N51" s="8"/>
      <c r="O51" s="8" t="str">
        <f t="shared" si="5"/>
        <v xml:space="preserve"> </v>
      </c>
    </row>
    <row r="52" spans="2:15" ht="25.5" customHeight="1" x14ac:dyDescent="0.2">
      <c r="B52" s="8"/>
      <c r="C52" s="8"/>
      <c r="D52" s="8"/>
      <c r="E52" s="9"/>
      <c r="F52" s="16"/>
      <c r="G52" s="9"/>
      <c r="H52" s="10"/>
      <c r="I52" s="10"/>
      <c r="J52" s="10"/>
      <c r="K52" s="10"/>
      <c r="M52" s="8"/>
      <c r="N52" s="8"/>
      <c r="O52" s="8" t="str">
        <f t="shared" si="5"/>
        <v xml:space="preserve"> </v>
      </c>
    </row>
    <row r="53" spans="2:15" ht="25.5" customHeight="1" x14ac:dyDescent="0.2">
      <c r="B53" s="8"/>
      <c r="C53" s="8"/>
      <c r="D53" s="8"/>
      <c r="E53" s="9"/>
      <c r="F53" s="16"/>
      <c r="G53" s="9"/>
      <c r="H53" s="10"/>
      <c r="I53" s="10"/>
      <c r="J53" s="10"/>
      <c r="K53" s="10"/>
      <c r="M53" s="8"/>
      <c r="N53" s="8"/>
      <c r="O53" s="8" t="str">
        <f t="shared" si="5"/>
        <v xml:space="preserve"> </v>
      </c>
    </row>
    <row r="54" spans="2:15" ht="25.5" customHeight="1" x14ac:dyDescent="0.2">
      <c r="B54" s="8"/>
      <c r="C54" s="8"/>
      <c r="D54" s="8"/>
      <c r="E54" s="9"/>
      <c r="F54" s="16"/>
      <c r="G54" s="9"/>
      <c r="H54" s="10"/>
      <c r="I54" s="10"/>
      <c r="J54" s="10"/>
      <c r="K54" s="10"/>
      <c r="M54" s="8"/>
      <c r="N54" s="8"/>
      <c r="O54" s="8" t="str">
        <f t="shared" si="5"/>
        <v xml:space="preserve"> </v>
      </c>
    </row>
    <row r="55" spans="2:15" ht="25.5" customHeight="1" x14ac:dyDescent="0.2">
      <c r="B55" s="8"/>
      <c r="C55" s="8"/>
      <c r="D55" s="8"/>
      <c r="E55" s="9"/>
      <c r="F55" s="16"/>
      <c r="G55" s="9"/>
      <c r="H55" s="10"/>
      <c r="I55" s="10"/>
      <c r="J55" s="10"/>
      <c r="K55" s="10"/>
      <c r="M55" s="8"/>
      <c r="N55" s="8"/>
      <c r="O55" s="8" t="str">
        <f t="shared" si="5"/>
        <v xml:space="preserve"> </v>
      </c>
    </row>
    <row r="56" spans="2:15" ht="25.5" customHeight="1" x14ac:dyDescent="0.2">
      <c r="B56" s="8"/>
      <c r="C56" s="8"/>
      <c r="D56" s="8"/>
      <c r="E56" s="9"/>
      <c r="F56" s="16"/>
      <c r="G56" s="9"/>
      <c r="H56" s="10"/>
      <c r="I56" s="10"/>
      <c r="J56" s="10"/>
      <c r="K56" s="10"/>
      <c r="M56" s="8"/>
      <c r="N56" s="8"/>
      <c r="O56" s="8" t="str">
        <f t="shared" si="5"/>
        <v xml:space="preserve"> </v>
      </c>
    </row>
    <row r="57" spans="2:15" ht="25.5" customHeight="1" x14ac:dyDescent="0.2">
      <c r="B57" s="8"/>
      <c r="C57" s="8"/>
      <c r="D57" s="8"/>
      <c r="E57" s="9"/>
      <c r="F57" s="16"/>
      <c r="G57" s="9"/>
      <c r="H57" s="10"/>
      <c r="I57" s="10"/>
      <c r="J57" s="10"/>
      <c r="K57" s="10"/>
      <c r="M57" s="8"/>
      <c r="N57" s="8"/>
      <c r="O57" s="8" t="str">
        <f t="shared" si="5"/>
        <v xml:space="preserve"> </v>
      </c>
    </row>
    <row r="58" spans="2:15" ht="25.5" customHeight="1" x14ac:dyDescent="0.2">
      <c r="B58" s="8"/>
      <c r="C58" s="8"/>
      <c r="D58" s="8"/>
      <c r="E58" s="9"/>
      <c r="F58" s="16"/>
      <c r="G58" s="9"/>
      <c r="H58" s="10"/>
      <c r="I58" s="10"/>
      <c r="J58" s="10"/>
      <c r="K58" s="10"/>
      <c r="M58" s="8"/>
      <c r="N58" s="8"/>
      <c r="O58" s="8" t="str">
        <f t="shared" si="5"/>
        <v xml:space="preserve"> </v>
      </c>
    </row>
    <row r="59" spans="2:15" ht="25.5" customHeight="1" x14ac:dyDescent="0.2">
      <c r="B59" s="8"/>
      <c r="C59" s="8"/>
      <c r="D59" s="8"/>
      <c r="E59" s="9"/>
      <c r="F59" s="16"/>
      <c r="G59" s="9"/>
      <c r="H59" s="10"/>
      <c r="I59" s="10"/>
      <c r="J59" s="10"/>
      <c r="K59" s="10"/>
      <c r="M59" s="8"/>
      <c r="N59" s="8"/>
      <c r="O59" s="8" t="str">
        <f t="shared" si="5"/>
        <v xml:space="preserve"> </v>
      </c>
    </row>
    <row r="60" spans="2:15" ht="25.5" customHeight="1" x14ac:dyDescent="0.2">
      <c r="B60" s="8"/>
      <c r="C60" s="8"/>
      <c r="D60" s="8"/>
      <c r="E60" s="9"/>
      <c r="F60" s="16"/>
      <c r="G60" s="9"/>
      <c r="H60" s="10"/>
      <c r="I60" s="10"/>
      <c r="J60" s="10"/>
      <c r="K60" s="10"/>
      <c r="M60" s="8"/>
      <c r="N60" s="8"/>
      <c r="O60" s="8" t="str">
        <f t="shared" si="5"/>
        <v xml:space="preserve"> </v>
      </c>
    </row>
    <row r="61" spans="2:15" ht="25.5" customHeight="1" x14ac:dyDescent="0.2">
      <c r="B61" s="8"/>
      <c r="C61" s="8"/>
      <c r="D61" s="8"/>
      <c r="E61" s="9"/>
      <c r="F61" s="16"/>
      <c r="G61" s="9"/>
      <c r="H61" s="10"/>
      <c r="I61" s="10"/>
      <c r="J61" s="10"/>
      <c r="K61" s="10"/>
      <c r="M61" s="8"/>
      <c r="N61" s="8"/>
      <c r="O61" s="8" t="str">
        <f t="shared" si="5"/>
        <v xml:space="preserve"> </v>
      </c>
    </row>
    <row r="62" spans="2:15" ht="25.5" customHeight="1" x14ac:dyDescent="0.2">
      <c r="B62" s="8"/>
      <c r="C62" s="8"/>
      <c r="D62" s="8"/>
      <c r="E62" s="9"/>
      <c r="F62" s="16"/>
      <c r="G62" s="9"/>
      <c r="H62" s="10"/>
      <c r="I62" s="10"/>
      <c r="J62" s="10"/>
      <c r="K62" s="10"/>
      <c r="M62" s="8"/>
      <c r="N62" s="8"/>
      <c r="O62" s="8" t="str">
        <f t="shared" si="5"/>
        <v xml:space="preserve"> </v>
      </c>
    </row>
    <row r="63" spans="2:15" ht="25.5" customHeight="1" x14ac:dyDescent="0.2">
      <c r="B63" s="8"/>
      <c r="C63" s="8"/>
      <c r="D63" s="8"/>
      <c r="E63" s="9"/>
      <c r="F63" s="16"/>
      <c r="G63" s="9"/>
      <c r="H63" s="10"/>
      <c r="I63" s="10"/>
      <c r="J63" s="10"/>
      <c r="K63" s="10"/>
      <c r="M63" s="8"/>
      <c r="N63" s="8"/>
      <c r="O63" s="8" t="str">
        <f t="shared" si="5"/>
        <v xml:space="preserve"> </v>
      </c>
    </row>
    <row r="64" spans="2:15" ht="25.5" customHeight="1" x14ac:dyDescent="0.2">
      <c r="B64" s="8"/>
      <c r="C64" s="8"/>
      <c r="D64" s="8"/>
      <c r="E64" s="9"/>
      <c r="F64" s="16"/>
      <c r="G64" s="9"/>
      <c r="H64" s="10"/>
      <c r="I64" s="10"/>
      <c r="J64" s="10"/>
      <c r="K64" s="10"/>
      <c r="M64" s="8"/>
      <c r="N64" s="8"/>
      <c r="O64" s="8" t="str">
        <f t="shared" si="5"/>
        <v xml:space="preserve"> </v>
      </c>
    </row>
    <row r="65" spans="2:15" ht="25.5" customHeight="1" x14ac:dyDescent="0.2">
      <c r="B65" s="8"/>
      <c r="C65" s="8"/>
      <c r="D65" s="8"/>
      <c r="E65" s="9"/>
      <c r="F65" s="16"/>
      <c r="G65" s="9"/>
      <c r="H65" s="10"/>
      <c r="I65" s="10"/>
      <c r="J65" s="10"/>
      <c r="K65" s="10"/>
      <c r="M65" s="8"/>
      <c r="N65" s="8"/>
      <c r="O65" s="8" t="str">
        <f t="shared" si="5"/>
        <v xml:space="preserve"> </v>
      </c>
    </row>
    <row r="66" spans="2:15" ht="25.5" customHeight="1" x14ac:dyDescent="0.2">
      <c r="B66" s="8"/>
      <c r="C66" s="8"/>
      <c r="D66" s="8"/>
      <c r="E66" s="9"/>
      <c r="F66" s="16"/>
      <c r="G66" s="9"/>
      <c r="H66" s="10"/>
      <c r="I66" s="10"/>
      <c r="J66" s="10"/>
      <c r="K66" s="10"/>
      <c r="M66" s="8"/>
      <c r="N66" s="8"/>
      <c r="O66" s="8" t="str">
        <f t="shared" si="5"/>
        <v xml:space="preserve"> </v>
      </c>
    </row>
    <row r="67" spans="2:15" ht="25.5" customHeight="1" x14ac:dyDescent="0.2">
      <c r="B67" s="8"/>
      <c r="C67" s="8"/>
      <c r="D67" s="8"/>
      <c r="E67" s="9"/>
      <c r="F67" s="16"/>
      <c r="G67" s="9"/>
      <c r="H67" s="10"/>
      <c r="I67" s="10"/>
      <c r="J67" s="10"/>
      <c r="K67" s="10"/>
      <c r="M67" s="8"/>
      <c r="N67" s="8"/>
      <c r="O67" s="8" t="str">
        <f t="shared" si="5"/>
        <v xml:space="preserve"> </v>
      </c>
    </row>
    <row r="68" spans="2:15" ht="25.5" customHeight="1" x14ac:dyDescent="0.2">
      <c r="B68" s="8"/>
      <c r="C68" s="8"/>
      <c r="D68" s="8"/>
      <c r="E68" s="9"/>
      <c r="F68" s="16"/>
      <c r="G68" s="9"/>
      <c r="H68" s="10"/>
      <c r="I68" s="10"/>
      <c r="J68" s="10"/>
      <c r="K68" s="10"/>
      <c r="M68" s="8"/>
      <c r="N68" s="8"/>
      <c r="O68" s="8" t="str">
        <f t="shared" si="5"/>
        <v xml:space="preserve"> </v>
      </c>
    </row>
    <row r="69" spans="2:15" ht="25.5" customHeight="1" x14ac:dyDescent="0.2">
      <c r="B69" s="8"/>
      <c r="C69" s="8"/>
      <c r="D69" s="8"/>
      <c r="E69" s="9"/>
      <c r="F69" s="16"/>
      <c r="G69" s="9"/>
      <c r="H69" s="10"/>
      <c r="I69" s="10"/>
      <c r="J69" s="10"/>
      <c r="K69" s="10"/>
      <c r="M69" s="8"/>
      <c r="N69" s="8"/>
      <c r="O69" s="8" t="str">
        <f t="shared" si="5"/>
        <v xml:space="preserve"> </v>
      </c>
    </row>
    <row r="70" spans="2:15" ht="25.5" customHeight="1" x14ac:dyDescent="0.2">
      <c r="B70" s="8"/>
      <c r="C70" s="8"/>
      <c r="D70" s="8"/>
      <c r="E70" s="9"/>
      <c r="F70" s="16"/>
      <c r="G70" s="9"/>
      <c r="H70" s="10"/>
      <c r="I70" s="10"/>
      <c r="J70" s="10"/>
      <c r="K70" s="10"/>
      <c r="M70" s="8"/>
      <c r="N70" s="8"/>
      <c r="O70" s="8" t="str">
        <f t="shared" si="5"/>
        <v xml:space="preserve"> </v>
      </c>
    </row>
    <row r="71" spans="2:15" ht="25.5" customHeight="1" x14ac:dyDescent="0.2">
      <c r="B71" s="8"/>
      <c r="C71" s="8"/>
      <c r="D71" s="8"/>
      <c r="E71" s="9"/>
      <c r="F71" s="16"/>
      <c r="G71" s="9"/>
      <c r="H71" s="10"/>
      <c r="I71" s="10"/>
      <c r="J71" s="10"/>
      <c r="K71" s="10"/>
      <c r="M71" s="8"/>
      <c r="N71" s="8"/>
      <c r="O71" s="8" t="str">
        <f t="shared" si="5"/>
        <v xml:space="preserve"> </v>
      </c>
    </row>
    <row r="72" spans="2:15" ht="25.5" customHeight="1" x14ac:dyDescent="0.2">
      <c r="B72" s="8"/>
      <c r="C72" s="8"/>
      <c r="D72" s="8"/>
      <c r="E72" s="9"/>
      <c r="F72" s="16"/>
      <c r="G72" s="9"/>
      <c r="H72" s="10"/>
      <c r="I72" s="10"/>
      <c r="J72" s="10"/>
      <c r="K72" s="10"/>
      <c r="M72" s="8"/>
      <c r="N72" s="8"/>
      <c r="O72" s="8" t="str">
        <f t="shared" si="5"/>
        <v xml:space="preserve"> </v>
      </c>
    </row>
    <row r="73" spans="2:15" ht="25.5" customHeight="1" x14ac:dyDescent="0.2">
      <c r="B73" s="8"/>
      <c r="C73" s="8"/>
      <c r="D73" s="8"/>
      <c r="E73" s="9"/>
      <c r="F73" s="16"/>
      <c r="G73" s="9"/>
      <c r="H73" s="10"/>
      <c r="I73" s="10"/>
      <c r="J73" s="10"/>
      <c r="K73" s="10"/>
      <c r="M73" s="8"/>
      <c r="N73" s="8"/>
      <c r="O73" s="8" t="str">
        <f t="shared" si="5"/>
        <v xml:space="preserve"> </v>
      </c>
    </row>
    <row r="74" spans="2:15" ht="25.5" customHeight="1" x14ac:dyDescent="0.2">
      <c r="B74" s="8"/>
      <c r="C74" s="8"/>
      <c r="D74" s="8"/>
      <c r="E74" s="9"/>
      <c r="F74" s="16"/>
      <c r="G74" s="9"/>
      <c r="H74" s="10"/>
      <c r="I74" s="10"/>
      <c r="J74" s="10"/>
      <c r="K74" s="10"/>
      <c r="M74" s="8"/>
      <c r="N74" s="8"/>
      <c r="O74" s="8" t="str">
        <f t="shared" si="5"/>
        <v xml:space="preserve"> </v>
      </c>
    </row>
    <row r="75" spans="2:15" ht="25.5" customHeight="1" x14ac:dyDescent="0.2">
      <c r="B75" s="8"/>
      <c r="C75" s="8"/>
      <c r="D75" s="8"/>
      <c r="E75" s="9"/>
      <c r="F75" s="16"/>
      <c r="G75" s="9"/>
      <c r="H75" s="10"/>
      <c r="I75" s="10"/>
      <c r="J75" s="10"/>
      <c r="K75" s="10"/>
      <c r="M75" s="8"/>
      <c r="N75" s="8"/>
      <c r="O75" s="8" t="str">
        <f t="shared" si="5"/>
        <v xml:space="preserve"> </v>
      </c>
    </row>
    <row r="76" spans="2:15" ht="25.5" customHeight="1" x14ac:dyDescent="0.2">
      <c r="B76" s="8"/>
      <c r="C76" s="8"/>
      <c r="D76" s="8"/>
      <c r="E76" s="9"/>
      <c r="F76" s="16"/>
      <c r="G76" s="9"/>
      <c r="H76" s="10"/>
      <c r="I76" s="10"/>
      <c r="J76" s="10"/>
      <c r="K76" s="10"/>
      <c r="M76" s="8"/>
      <c r="N76" s="8"/>
      <c r="O76" s="8" t="str">
        <f t="shared" si="5"/>
        <v xml:space="preserve"> </v>
      </c>
    </row>
    <row r="77" spans="2:15" ht="25.5" customHeight="1" x14ac:dyDescent="0.2">
      <c r="B77" s="8"/>
      <c r="C77" s="8"/>
      <c r="D77" s="8"/>
      <c r="E77" s="9"/>
      <c r="F77" s="16"/>
      <c r="G77" s="9"/>
      <c r="H77" s="10"/>
      <c r="I77" s="10"/>
      <c r="J77" s="10"/>
      <c r="K77" s="10"/>
      <c r="M77" s="8"/>
      <c r="N77" s="8"/>
      <c r="O77" s="8" t="str">
        <f t="shared" si="5"/>
        <v xml:space="preserve"> </v>
      </c>
    </row>
    <row r="78" spans="2:15" ht="25.5" customHeight="1" x14ac:dyDescent="0.2">
      <c r="B78" s="8"/>
      <c r="C78" s="8"/>
      <c r="D78" s="8"/>
      <c r="E78" s="9"/>
      <c r="F78" s="16"/>
      <c r="G78" s="9"/>
      <c r="H78" s="10"/>
      <c r="I78" s="10"/>
      <c r="J78" s="10"/>
      <c r="K78" s="10"/>
      <c r="M78" s="8"/>
      <c r="N78" s="8"/>
      <c r="O78" s="8" t="str">
        <f t="shared" si="5"/>
        <v xml:space="preserve"> </v>
      </c>
    </row>
    <row r="79" spans="2:15" ht="25.5" customHeight="1" x14ac:dyDescent="0.2">
      <c r="B79" s="8"/>
      <c r="C79" s="8"/>
      <c r="D79" s="8"/>
      <c r="E79" s="9"/>
      <c r="F79" s="16"/>
      <c r="G79" s="9"/>
      <c r="H79" s="10"/>
      <c r="I79" s="10"/>
      <c r="J79" s="10"/>
      <c r="K79" s="10"/>
      <c r="M79" s="8"/>
      <c r="N79" s="8"/>
      <c r="O79" s="8" t="str">
        <f t="shared" si="5"/>
        <v xml:space="preserve"> </v>
      </c>
    </row>
  </sheetData>
  <mergeCells count="14">
    <mergeCell ref="J4:J6"/>
    <mergeCell ref="B2:O2"/>
    <mergeCell ref="B3:M3"/>
    <mergeCell ref="L4:O4"/>
    <mergeCell ref="L5:O5"/>
    <mergeCell ref="K4:K6"/>
    <mergeCell ref="B4:B6"/>
    <mergeCell ref="E4:E6"/>
    <mergeCell ref="F4:F6"/>
    <mergeCell ref="G4:G6"/>
    <mergeCell ref="H4:H6"/>
    <mergeCell ref="I4:I6"/>
    <mergeCell ref="C4:C6"/>
    <mergeCell ref="D4:D6"/>
  </mergeCells>
  <phoneticPr fontId="5" type="noConversion"/>
  <conditionalFormatting sqref="O7 O27 O31">
    <cfRule type="cellIs" dxfId="122" priority="1" operator="equal">
      <formula>1</formula>
    </cfRule>
  </conditionalFormatting>
  <dataValidations xWindow="1070" yWindow="480" count="5">
    <dataValidation type="whole" allowBlank="1" showInputMessage="1" showErrorMessage="1" error="El valorespermitidos entre 1 y 3" prompt="Alto (3)_x000a_Medio (2)_x000a_Bajo (1)" sqref="L7:N79" xr:uid="{00000000-0002-0000-0600-000001000000}">
      <formula1>1</formula1>
      <formula2>3</formula2>
    </dataValidation>
    <dataValidation type="list" allowBlank="1" showInputMessage="1" showErrorMessage="1" errorTitle="Activo" error="Regsitre su activo" promptTitle="Tipo de Activo" sqref="E7:E32" xr:uid="{22793273-F5EA-443B-B16B-68C5634C87F4}">
      <formula1>Tipo_Activo</formula1>
    </dataValidation>
    <dataValidation type="list" allowBlank="1" showInputMessage="1" showErrorMessage="1" sqref="I7:I32" xr:uid="{795AF266-184F-47BB-B355-F13B632914F8}">
      <formula1>Tipo_Soporte</formula1>
    </dataValidation>
    <dataValidation type="list" allowBlank="1" showInputMessage="1" showErrorMessage="1" sqref="I33:I79" xr:uid="{00000000-0002-0000-0600-000003000000}">
      <formula1>$AI$5:$AI$10</formula1>
    </dataValidation>
    <dataValidation type="list" allowBlank="1" showInputMessage="1" showErrorMessage="1" sqref="E33:E79" xr:uid="{00000000-0002-0000-0600-000006000000}">
      <formula1>#REF!</formula1>
    </dataValidation>
  </dataValidations>
  <pageMargins left="0.25" right="0.25" top="0.75" bottom="0.75" header="0.3" footer="0.3"/>
  <pageSetup paperSize="9" scale="32" fitToHeight="0" orientation="landscape" r:id="rId1"/>
  <legacy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S27"/>
  <sheetViews>
    <sheetView zoomScale="160" zoomScaleNormal="160" zoomScaleSheetLayoutView="80" workbookViewId="0">
      <selection activeCell="I3" sqref="I3:I4"/>
    </sheetView>
  </sheetViews>
  <sheetFormatPr baseColWidth="10" defaultRowHeight="11.25" x14ac:dyDescent="0.2"/>
  <cols>
    <col min="1" max="1" width="5.140625" style="2" customWidth="1"/>
    <col min="2" max="2" width="9.7109375" style="2" customWidth="1"/>
    <col min="3" max="3" width="17.85546875" style="3" customWidth="1"/>
    <col min="4" max="4" width="34.85546875" style="2" customWidth="1"/>
    <col min="5" max="5" width="35.5703125" style="2" customWidth="1"/>
    <col min="6" max="6" width="9.28515625" style="8" customWidth="1"/>
    <col min="7" max="7" width="9.5703125" style="2" customWidth="1"/>
    <col min="8" max="8" width="12.7109375" style="2" customWidth="1"/>
    <col min="9" max="9" width="15.5703125" style="2" customWidth="1"/>
    <col min="10" max="10" width="10" style="2" customWidth="1"/>
    <col min="11" max="11" width="10.5703125" style="2" customWidth="1"/>
    <col min="12" max="12" width="28.85546875" style="2" customWidth="1"/>
    <col min="13" max="13" width="14.7109375" style="2" customWidth="1"/>
    <col min="14" max="14" width="22.85546875" style="2" customWidth="1"/>
    <col min="15" max="15" width="9.7109375" style="2" customWidth="1"/>
    <col min="16" max="16" width="10.140625" style="2" customWidth="1"/>
    <col min="17" max="17" width="14.5703125" style="2" customWidth="1"/>
    <col min="18" max="18" width="13.85546875" style="2" customWidth="1"/>
    <col min="19" max="19" width="13.5703125" style="2" customWidth="1"/>
    <col min="20" max="16384" width="11.42578125" style="2"/>
  </cols>
  <sheetData>
    <row r="2" spans="2:19" ht="20.25" customHeight="1" x14ac:dyDescent="0.2">
      <c r="B2" s="117" t="s">
        <v>107</v>
      </c>
      <c r="C2" s="117"/>
      <c r="D2" s="117"/>
      <c r="E2" s="117"/>
      <c r="F2" s="117" t="s">
        <v>108</v>
      </c>
      <c r="G2" s="117"/>
      <c r="H2" s="117"/>
      <c r="I2" s="117"/>
      <c r="J2" s="117"/>
      <c r="K2" s="117"/>
      <c r="L2" s="117" t="s">
        <v>109</v>
      </c>
      <c r="M2" s="117"/>
      <c r="N2" s="117"/>
      <c r="O2" s="117"/>
      <c r="P2" s="117"/>
      <c r="Q2" s="117"/>
      <c r="R2" s="117"/>
      <c r="S2" s="117" t="s">
        <v>70</v>
      </c>
    </row>
    <row r="3" spans="2:19" s="9" customFormat="1" ht="22.5" customHeight="1" x14ac:dyDescent="0.2">
      <c r="B3" s="117"/>
      <c r="C3" s="117"/>
      <c r="D3" s="117"/>
      <c r="E3" s="117"/>
      <c r="F3" s="17" t="s">
        <v>0</v>
      </c>
      <c r="G3" s="118" t="s">
        <v>69</v>
      </c>
      <c r="H3" s="118"/>
      <c r="I3" s="119" t="s">
        <v>99</v>
      </c>
      <c r="J3" s="119" t="s">
        <v>123</v>
      </c>
      <c r="K3" s="117" t="s">
        <v>1</v>
      </c>
      <c r="L3" s="117"/>
      <c r="M3" s="117"/>
      <c r="N3" s="117"/>
      <c r="O3" s="117"/>
      <c r="P3" s="117"/>
      <c r="Q3" s="117"/>
      <c r="R3" s="117"/>
      <c r="S3" s="117"/>
    </row>
    <row r="4" spans="2:19" s="8" customFormat="1" ht="57.75" customHeight="1" x14ac:dyDescent="0.2">
      <c r="B4" s="19" t="s">
        <v>19</v>
      </c>
      <c r="C4" s="19" t="s">
        <v>146</v>
      </c>
      <c r="D4" s="20" t="s">
        <v>97</v>
      </c>
      <c r="E4" s="20" t="s">
        <v>98</v>
      </c>
      <c r="F4" s="18" t="s">
        <v>357</v>
      </c>
      <c r="G4" s="18" t="s">
        <v>51</v>
      </c>
      <c r="H4" s="18" t="s">
        <v>42</v>
      </c>
      <c r="I4" s="119"/>
      <c r="J4" s="119"/>
      <c r="K4" s="117"/>
      <c r="L4" s="21" t="s">
        <v>138</v>
      </c>
      <c r="M4" s="21" t="s">
        <v>100</v>
      </c>
      <c r="N4" s="21" t="s">
        <v>101</v>
      </c>
      <c r="O4" s="21" t="s">
        <v>51</v>
      </c>
      <c r="P4" s="21" t="s">
        <v>42</v>
      </c>
      <c r="Q4" s="21" t="s">
        <v>122</v>
      </c>
      <c r="R4" s="21" t="s">
        <v>124</v>
      </c>
      <c r="S4" s="117"/>
    </row>
    <row r="5" spans="2:19" ht="13.5" customHeight="1" x14ac:dyDescent="0.2">
      <c r="B5" s="22" t="str">
        <f>'Valoración de Activos'!B7</f>
        <v>A1</v>
      </c>
      <c r="C5" s="92" t="str">
        <f>'Valoración de Activos'!F7</f>
        <v>e-Productos</v>
      </c>
      <c r="D5" s="2" t="s">
        <v>296</v>
      </c>
      <c r="E5" s="24" t="s">
        <v>214</v>
      </c>
      <c r="F5" s="25">
        <f>'Valoración de Activos'!O7</f>
        <v>2.6666666666666665</v>
      </c>
      <c r="G5" s="26">
        <v>3</v>
      </c>
      <c r="H5" s="26">
        <v>2</v>
      </c>
      <c r="I5" s="24" t="s">
        <v>425</v>
      </c>
      <c r="J5" s="27">
        <f>IF(F5*G5*H5=0," ",F5*G5*H5)</f>
        <v>16</v>
      </c>
      <c r="K5" s="22" t="str">
        <f>IFERROR(VLOOKUP(J5,'Evaluación de Riesgos'!$N$3:$P$5,3,TRUE),"")</f>
        <v>ALTO</v>
      </c>
      <c r="L5" s="23" t="str">
        <f>IFERROR(VLOOKUP(J5,'Opc. Tratamiento Riesgo'!$F$3:$H$4,3,TRUE),"")</f>
        <v xml:space="preserve">MODIFICAR / PREVENIR / COMPARTIR </v>
      </c>
      <c r="M5" s="23" t="str">
        <f t="shared" ref="M5:M6" si="0">IF(AND(J5&gt;=9,J5&lt;=27),"CONTROL CORRECTIVO",IF(AND(J5&gt;=4,J5&lt;9),"CONTROL PREVENTIVO",IF(AND(J5&gt;=1,J5&lt;4),"MONITOREO Y CONTROL")))</f>
        <v>CONTROL CORRECTIVO</v>
      </c>
      <c r="N5" s="24" t="s">
        <v>423</v>
      </c>
      <c r="O5" s="28">
        <v>1</v>
      </c>
      <c r="P5" s="28">
        <v>1</v>
      </c>
      <c r="Q5" s="29">
        <f t="shared" ref="Q5:Q11" si="1">IF($F$5*O5*P5=0," ",$F$5*O5*P5)</f>
        <v>2.6666666666666665</v>
      </c>
      <c r="R5" s="22" t="str">
        <f>IFERROR(VLOOKUP(Q5,'Evaluación de Riesgos'!$N$3:$P$5,3,TRUE),"")</f>
        <v>BAJO</v>
      </c>
      <c r="S5" s="22" t="str">
        <f>IF(Q5=" "," ",IF(Q5&lt;3,"ACEPTABLE","INACEPTABLE"))</f>
        <v>ACEPTABLE</v>
      </c>
    </row>
    <row r="6" spans="2:19" ht="13.5" customHeight="1" x14ac:dyDescent="0.2">
      <c r="B6" s="22" t="str">
        <f>'Valoración de Activos'!B8</f>
        <v>A2</v>
      </c>
      <c r="C6" s="23" t="str">
        <f>'Valoración de Activos'!F8</f>
        <v>Activo 2</v>
      </c>
      <c r="D6" s="24"/>
      <c r="E6" s="24"/>
      <c r="F6" s="25">
        <f>'Valoración de Activos'!O8</f>
        <v>2.6666666666666665</v>
      </c>
      <c r="G6" s="26">
        <v>1</v>
      </c>
      <c r="H6" s="26">
        <v>1</v>
      </c>
      <c r="I6" s="24"/>
      <c r="J6" s="27">
        <f>IF(F6*G6*H6=0," ",F6*G6*H6)</f>
        <v>2.6666666666666665</v>
      </c>
      <c r="K6" s="22" t="str">
        <f>IFERROR(VLOOKUP(J6,'Evaluación de Riesgos'!$N$3:$P$5,3,TRUE),"")</f>
        <v>BAJO</v>
      </c>
      <c r="L6" s="23" t="str">
        <f>IFERROR(VLOOKUP(J6,'Opc. Tratamiento Riesgo'!$F$3:$H$4,3,TRUE),"")</f>
        <v>RETENER / ACEPTAR</v>
      </c>
      <c r="M6" s="23" t="str">
        <f t="shared" si="0"/>
        <v>MONITOREO Y CONTROL</v>
      </c>
      <c r="N6" s="24"/>
      <c r="O6" s="28">
        <v>1</v>
      </c>
      <c r="P6" s="28">
        <v>1</v>
      </c>
      <c r="Q6" s="29">
        <f t="shared" si="1"/>
        <v>2.6666666666666665</v>
      </c>
      <c r="R6" s="22" t="str">
        <f>IFERROR(VLOOKUP(Q6,'Evaluación de Riesgos'!$N$3:$P$5,3,TRUE),"")</f>
        <v>BAJO</v>
      </c>
      <c r="S6" s="22" t="str">
        <f t="shared" ref="S6:S15" si="2">IF(Q6=" "," ",IF(Q6&lt;3,"ACEPTABLE","INACEPTABLE"))</f>
        <v>ACEPTABLE</v>
      </c>
    </row>
    <row r="7" spans="2:19" ht="13.5" customHeight="1" x14ac:dyDescent="0.2">
      <c r="B7" s="22" t="str">
        <f>'Valoración de Activos'!B10</f>
        <v>A4</v>
      </c>
      <c r="C7" s="23" t="str">
        <f>'Valoración de Activos'!F10</f>
        <v>Activo 4</v>
      </c>
      <c r="D7" s="24"/>
      <c r="E7" s="24"/>
      <c r="F7" s="25">
        <f>'Valoración de Activos'!O9</f>
        <v>2.6666666666666665</v>
      </c>
      <c r="G7" s="26">
        <v>1</v>
      </c>
      <c r="H7" s="26">
        <v>1</v>
      </c>
      <c r="I7" s="24"/>
      <c r="J7" s="27">
        <f>IF(F7*G7*H7=0," ",F7*G7*H7)</f>
        <v>2.6666666666666665</v>
      </c>
      <c r="K7" s="22" t="str">
        <f>IFERROR(VLOOKUP(J7,'Evaluación de Riesgos'!$N$3:$P$5,3,TRUE),"")</f>
        <v>BAJO</v>
      </c>
      <c r="L7" s="23" t="str">
        <f>IFERROR(VLOOKUP(J7,'Opc. Tratamiento Riesgo'!$F$3:$H$4,3,TRUE),"")</f>
        <v>RETENER / ACEPTAR</v>
      </c>
      <c r="M7" s="23" t="str">
        <f t="shared" ref="M7:M15" si="3">IF(AND(J7&gt;=9,J7&lt;=27),"CONTROL CORRECTIVO",IF(AND(J7&gt;=4,J7&lt;9),"CONTROL PREVENTIVO",IF(AND(J7&gt;=1,J7&lt;4),"MONITOREO Y CONTROL")))</f>
        <v>MONITOREO Y CONTROL</v>
      </c>
      <c r="N7" s="24"/>
      <c r="O7" s="28">
        <v>1</v>
      </c>
      <c r="P7" s="28">
        <v>1</v>
      </c>
      <c r="Q7" s="29">
        <f t="shared" si="1"/>
        <v>2.6666666666666665</v>
      </c>
      <c r="R7" s="22" t="str">
        <f>IFERROR(VLOOKUP(Q7,'Evaluación de Riesgos'!$N$3:$P$5,3,TRUE),"")</f>
        <v>BAJO</v>
      </c>
      <c r="S7" s="22" t="str">
        <f t="shared" si="2"/>
        <v>ACEPTABLE</v>
      </c>
    </row>
    <row r="8" spans="2:19" ht="13.5" customHeight="1" x14ac:dyDescent="0.2">
      <c r="B8" s="22" t="str">
        <f>'Valoración de Activos'!B11</f>
        <v>A5</v>
      </c>
      <c r="C8" s="23" t="str">
        <f>'Valoración de Activos'!F11</f>
        <v>Activo 5</v>
      </c>
      <c r="D8" s="24"/>
      <c r="E8" s="24"/>
      <c r="F8" s="25">
        <f>'Valoración de Activos'!O10</f>
        <v>2.6666666666666665</v>
      </c>
      <c r="G8" s="26">
        <v>3</v>
      </c>
      <c r="H8" s="26">
        <v>1</v>
      </c>
      <c r="I8" s="24"/>
      <c r="J8" s="27">
        <f t="shared" ref="J8:J27" si="4">IF(F8*G8*H8=0," ",F8*G8*H8)</f>
        <v>8</v>
      </c>
      <c r="K8" s="22" t="str">
        <f>IFERROR(VLOOKUP(J8,'Evaluación de Riesgos'!$N$3:$P$5,3,TRUE),"")</f>
        <v>MEDIO</v>
      </c>
      <c r="L8" s="23" t="str">
        <f>IFERROR(VLOOKUP(J8,'Opc. Tratamiento Riesgo'!$F$3:$H$4,3,TRUE),"")</f>
        <v xml:space="preserve">MODIFICAR / PREVENIR / COMPARTIR </v>
      </c>
      <c r="M8" s="23" t="str">
        <f t="shared" si="3"/>
        <v>CONTROL PREVENTIVO</v>
      </c>
      <c r="N8" s="24"/>
      <c r="O8" s="28">
        <v>1</v>
      </c>
      <c r="P8" s="28">
        <v>1</v>
      </c>
      <c r="Q8" s="29">
        <f t="shared" si="1"/>
        <v>2.6666666666666665</v>
      </c>
      <c r="R8" s="22" t="str">
        <f>IFERROR(VLOOKUP(Q8,'Evaluación de Riesgos'!$N$3:$P$5,3,TRUE),"")</f>
        <v>BAJO</v>
      </c>
      <c r="S8" s="22" t="str">
        <f t="shared" si="2"/>
        <v>ACEPTABLE</v>
      </c>
    </row>
    <row r="9" spans="2:19" ht="13.5" customHeight="1" x14ac:dyDescent="0.2">
      <c r="B9" s="22" t="str">
        <f>'Valoración de Activos'!B12</f>
        <v>A6</v>
      </c>
      <c r="C9" s="23" t="str">
        <f>'Valoración de Activos'!F12</f>
        <v>Activo 6</v>
      </c>
      <c r="D9" s="24"/>
      <c r="E9" s="24"/>
      <c r="F9" s="25">
        <f>'Valoración de Activos'!O11</f>
        <v>2.6666666666666665</v>
      </c>
      <c r="G9" s="26">
        <v>1</v>
      </c>
      <c r="H9" s="26">
        <v>2</v>
      </c>
      <c r="I9" s="24"/>
      <c r="J9" s="27">
        <f t="shared" si="4"/>
        <v>5.333333333333333</v>
      </c>
      <c r="K9" s="22" t="str">
        <f>IFERROR(VLOOKUP(J9,'Evaluación de Riesgos'!$N$3:$P$5,3,TRUE),"")</f>
        <v>MEDIO</v>
      </c>
      <c r="L9" s="23" t="str">
        <f>IFERROR(VLOOKUP(J9,'Opc. Tratamiento Riesgo'!$F$3:$H$4,3,TRUE),"")</f>
        <v xml:space="preserve">MODIFICAR / PREVENIR / COMPARTIR </v>
      </c>
      <c r="M9" s="23" t="str">
        <f t="shared" si="3"/>
        <v>CONTROL PREVENTIVO</v>
      </c>
      <c r="N9" s="24"/>
      <c r="O9" s="28">
        <v>1</v>
      </c>
      <c r="P9" s="28">
        <v>1</v>
      </c>
      <c r="Q9" s="29">
        <f t="shared" si="1"/>
        <v>2.6666666666666665</v>
      </c>
      <c r="R9" s="22" t="str">
        <f>IFERROR(VLOOKUP(Q9,'Evaluación de Riesgos'!$N$3:$P$5,3,TRUE),"")</f>
        <v>BAJO</v>
      </c>
      <c r="S9" s="22" t="str">
        <f t="shared" si="2"/>
        <v>ACEPTABLE</v>
      </c>
    </row>
    <row r="10" spans="2:19" ht="13.5" customHeight="1" x14ac:dyDescent="0.2">
      <c r="B10" s="22" t="str">
        <f>'Valoración de Activos'!B13</f>
        <v>A7</v>
      </c>
      <c r="C10" s="23" t="str">
        <f>'Valoración de Activos'!F13</f>
        <v>Activo 7</v>
      </c>
      <c r="D10" s="24"/>
      <c r="E10" s="24"/>
      <c r="F10" s="25">
        <f>'Valoración de Activos'!O12</f>
        <v>2.6666666666666665</v>
      </c>
      <c r="G10" s="26">
        <v>2</v>
      </c>
      <c r="H10" s="26">
        <v>2</v>
      </c>
      <c r="I10" s="24"/>
      <c r="J10" s="27">
        <f t="shared" si="4"/>
        <v>10.666666666666666</v>
      </c>
      <c r="K10" s="22" t="str">
        <f>IFERROR(VLOOKUP(J10,'Evaluación de Riesgos'!$N$3:$P$5,3,TRUE),"")</f>
        <v>ALTO</v>
      </c>
      <c r="L10" s="23" t="str">
        <f>IFERROR(VLOOKUP(J10,'Opc. Tratamiento Riesgo'!$F$3:$H$4,3,TRUE),"")</f>
        <v xml:space="preserve">MODIFICAR / PREVENIR / COMPARTIR </v>
      </c>
      <c r="M10" s="23" t="str">
        <f t="shared" si="3"/>
        <v>CONTROL CORRECTIVO</v>
      </c>
      <c r="N10" s="24"/>
      <c r="O10" s="28">
        <v>1</v>
      </c>
      <c r="P10" s="28">
        <v>1</v>
      </c>
      <c r="Q10" s="29">
        <f t="shared" si="1"/>
        <v>2.6666666666666665</v>
      </c>
      <c r="R10" s="22" t="str">
        <f>IFERROR(VLOOKUP(Q10,'Evaluación de Riesgos'!$N$3:$P$5,3,TRUE),"")</f>
        <v>BAJO</v>
      </c>
      <c r="S10" s="22" t="str">
        <f t="shared" si="2"/>
        <v>ACEPTABLE</v>
      </c>
    </row>
    <row r="11" spans="2:19" ht="13.5" customHeight="1" x14ac:dyDescent="0.2">
      <c r="B11" s="22" t="str">
        <f>'Valoración de Activos'!B14</f>
        <v>A8</v>
      </c>
      <c r="C11" s="23" t="str">
        <f>'Valoración de Activos'!F14</f>
        <v>Activo 8</v>
      </c>
      <c r="D11" s="24"/>
      <c r="E11" s="24"/>
      <c r="F11" s="25">
        <f>'Valoración de Activos'!O13</f>
        <v>2.6666666666666665</v>
      </c>
      <c r="G11" s="26">
        <v>1</v>
      </c>
      <c r="H11" s="26">
        <v>2</v>
      </c>
      <c r="I11" s="24"/>
      <c r="J11" s="27">
        <f t="shared" si="4"/>
        <v>5.333333333333333</v>
      </c>
      <c r="K11" s="22" t="str">
        <f>IFERROR(VLOOKUP(J11,'Evaluación de Riesgos'!$N$3:$P$5,3,TRUE),"")</f>
        <v>MEDIO</v>
      </c>
      <c r="L11" s="23" t="str">
        <f>IFERROR(VLOOKUP(J11,'Opc. Tratamiento Riesgo'!$F$3:$H$4,3,TRUE),"")</f>
        <v xml:space="preserve">MODIFICAR / PREVENIR / COMPARTIR </v>
      </c>
      <c r="M11" s="23" t="str">
        <f t="shared" si="3"/>
        <v>CONTROL PREVENTIVO</v>
      </c>
      <c r="N11" s="24"/>
      <c r="O11" s="28">
        <v>1</v>
      </c>
      <c r="P11" s="28">
        <v>2</v>
      </c>
      <c r="Q11" s="29">
        <f t="shared" si="1"/>
        <v>5.333333333333333</v>
      </c>
      <c r="R11" s="22" t="str">
        <f>IFERROR(VLOOKUP(Q11,'Evaluación de Riesgos'!$N$3:$P$5,3,TRUE),"")</f>
        <v>MEDIO</v>
      </c>
      <c r="S11" s="22" t="str">
        <f t="shared" si="2"/>
        <v>INACEPTABLE</v>
      </c>
    </row>
    <row r="12" spans="2:19" ht="13.5" customHeight="1" x14ac:dyDescent="0.2">
      <c r="B12" s="22" t="str">
        <f>'Valoración de Activos'!B15</f>
        <v>A9</v>
      </c>
      <c r="C12" s="23" t="str">
        <f>'Valoración de Activos'!F15</f>
        <v>Activo 9</v>
      </c>
      <c r="D12" s="24"/>
      <c r="E12" s="24"/>
      <c r="F12" s="25">
        <f>'Valoración de Activos'!O14</f>
        <v>2.6666666666666665</v>
      </c>
      <c r="G12" s="26">
        <v>1</v>
      </c>
      <c r="H12" s="26">
        <v>2</v>
      </c>
      <c r="I12" s="24"/>
      <c r="J12" s="27">
        <f t="shared" si="4"/>
        <v>5.333333333333333</v>
      </c>
      <c r="K12" s="22" t="str">
        <f>IFERROR(VLOOKUP(J12,'Evaluación de Riesgos'!$N$3:$P$5,3,TRUE),"")</f>
        <v>MEDIO</v>
      </c>
      <c r="L12" s="23" t="str">
        <f>IFERROR(VLOOKUP(J12,'Opc. Tratamiento Riesgo'!$F$3:$H$4,3,TRUE),"")</f>
        <v xml:space="preserve">MODIFICAR / PREVENIR / COMPARTIR </v>
      </c>
      <c r="M12" s="23" t="str">
        <f t="shared" si="3"/>
        <v>CONTROL PREVENTIVO</v>
      </c>
      <c r="N12" s="24"/>
      <c r="O12" s="28">
        <v>1</v>
      </c>
      <c r="P12" s="28">
        <v>1</v>
      </c>
      <c r="Q12" s="29">
        <f t="shared" ref="Q12:Q15" si="5">IF($F$5*O12*P12=0," ",$F$5*O12*P12)</f>
        <v>2.6666666666666665</v>
      </c>
      <c r="R12" s="22" t="str">
        <f>IFERROR(VLOOKUP(Q12,'Evaluación de Riesgos'!$N$3:$P$5,3,TRUE),"")</f>
        <v>BAJO</v>
      </c>
      <c r="S12" s="22" t="str">
        <f t="shared" si="2"/>
        <v>ACEPTABLE</v>
      </c>
    </row>
    <row r="13" spans="2:19" ht="13.5" customHeight="1" x14ac:dyDescent="0.2">
      <c r="B13" s="22" t="str">
        <f>'Valoración de Activos'!B17</f>
        <v>A11</v>
      </c>
      <c r="C13" s="23" t="str">
        <f>'Valoración de Activos'!F16</f>
        <v>Activo 10</v>
      </c>
      <c r="D13" s="24"/>
      <c r="E13" s="24"/>
      <c r="F13" s="25">
        <f>'Valoración de Activos'!O15</f>
        <v>2.6666666666666665</v>
      </c>
      <c r="G13" s="26">
        <v>1</v>
      </c>
      <c r="H13" s="26">
        <v>2</v>
      </c>
      <c r="I13" s="24"/>
      <c r="J13" s="27">
        <f t="shared" si="4"/>
        <v>5.333333333333333</v>
      </c>
      <c r="K13" s="22" t="str">
        <f>IFERROR(VLOOKUP(J13,'Evaluación de Riesgos'!$N$3:$P$5,3,TRUE),"")</f>
        <v>MEDIO</v>
      </c>
      <c r="L13" s="23" t="str">
        <f>IFERROR(VLOOKUP(J13,'Opc. Tratamiento Riesgo'!$F$3:$H$4,3,TRUE),"")</f>
        <v xml:space="preserve">MODIFICAR / PREVENIR / COMPARTIR </v>
      </c>
      <c r="M13" s="23" t="str">
        <f t="shared" si="3"/>
        <v>CONTROL PREVENTIVO</v>
      </c>
      <c r="N13" s="24"/>
      <c r="O13" s="28">
        <v>1</v>
      </c>
      <c r="P13" s="28">
        <v>1</v>
      </c>
      <c r="Q13" s="29">
        <f t="shared" si="5"/>
        <v>2.6666666666666665</v>
      </c>
      <c r="R13" s="22" t="str">
        <f>IFERROR(VLOOKUP(Q13,'Evaluación de Riesgos'!$N$3:$P$5,3,TRUE),"")</f>
        <v>BAJO</v>
      </c>
      <c r="S13" s="22" t="str">
        <f t="shared" si="2"/>
        <v>ACEPTABLE</v>
      </c>
    </row>
    <row r="14" spans="2:19" ht="13.5" customHeight="1" x14ac:dyDescent="0.2">
      <c r="B14" s="22" t="str">
        <f>'Valoración de Activos'!B18</f>
        <v>A12</v>
      </c>
      <c r="C14" s="23" t="str">
        <f>'Valoración de Activos'!F17</f>
        <v>Activo 11</v>
      </c>
      <c r="D14" s="24"/>
      <c r="E14" s="24"/>
      <c r="F14" s="25">
        <f>'Valoración de Activos'!O16</f>
        <v>2.6666666666666665</v>
      </c>
      <c r="G14" s="26">
        <v>1</v>
      </c>
      <c r="H14" s="26">
        <v>2</v>
      </c>
      <c r="I14" s="24"/>
      <c r="J14" s="27">
        <f t="shared" si="4"/>
        <v>5.333333333333333</v>
      </c>
      <c r="K14" s="22" t="str">
        <f>IFERROR(VLOOKUP(J14,'Evaluación de Riesgos'!$N$3:$P$5,3,TRUE),"")</f>
        <v>MEDIO</v>
      </c>
      <c r="L14" s="23" t="str">
        <f>IFERROR(VLOOKUP(J14,'Opc. Tratamiento Riesgo'!$F$3:$H$4,3,TRUE),"")</f>
        <v xml:space="preserve">MODIFICAR / PREVENIR / COMPARTIR </v>
      </c>
      <c r="M14" s="23" t="str">
        <f t="shared" si="3"/>
        <v>CONTROL PREVENTIVO</v>
      </c>
      <c r="N14" s="24"/>
      <c r="O14" s="28">
        <v>1</v>
      </c>
      <c r="P14" s="28">
        <v>1</v>
      </c>
      <c r="Q14" s="29">
        <f t="shared" si="5"/>
        <v>2.6666666666666665</v>
      </c>
      <c r="R14" s="22" t="str">
        <f>IFERROR(VLOOKUP(Q14,'Evaluación de Riesgos'!$N$3:$P$5,3,TRUE),"")</f>
        <v>BAJO</v>
      </c>
      <c r="S14" s="22" t="str">
        <f t="shared" si="2"/>
        <v>ACEPTABLE</v>
      </c>
    </row>
    <row r="15" spans="2:19" ht="13.5" customHeight="1" x14ac:dyDescent="0.2">
      <c r="B15" s="22" t="str">
        <f>'Valoración de Activos'!B19</f>
        <v>A13</v>
      </c>
      <c r="C15" s="23" t="str">
        <f>'Valoración de Activos'!F18</f>
        <v>Activo 12</v>
      </c>
      <c r="D15" s="24"/>
      <c r="E15" s="24"/>
      <c r="F15" s="25">
        <f>'Valoración de Activos'!O17</f>
        <v>2.6666666666666665</v>
      </c>
      <c r="G15" s="26">
        <v>1</v>
      </c>
      <c r="H15" s="26">
        <v>2</v>
      </c>
      <c r="I15" s="24"/>
      <c r="J15" s="27">
        <f t="shared" si="4"/>
        <v>5.333333333333333</v>
      </c>
      <c r="K15" s="22" t="str">
        <f>IFERROR(VLOOKUP(J15,'Evaluación de Riesgos'!$N$3:$P$5,3,TRUE),"")</f>
        <v>MEDIO</v>
      </c>
      <c r="L15" s="23" t="str">
        <f>IFERROR(VLOOKUP(J15,'Opc. Tratamiento Riesgo'!$F$3:$H$4,3,TRUE),"")</f>
        <v xml:space="preserve">MODIFICAR / PREVENIR / COMPARTIR </v>
      </c>
      <c r="M15" s="23" t="str">
        <f t="shared" si="3"/>
        <v>CONTROL PREVENTIVO</v>
      </c>
      <c r="N15" s="24"/>
      <c r="O15" s="28">
        <v>1</v>
      </c>
      <c r="P15" s="28">
        <v>1</v>
      </c>
      <c r="Q15" s="29">
        <f t="shared" si="5"/>
        <v>2.6666666666666665</v>
      </c>
      <c r="R15" s="22" t="str">
        <f>IFERROR(VLOOKUP(Q15,'Evaluación de Riesgos'!$N$3:$P$5,3,TRUE),"")</f>
        <v>BAJO</v>
      </c>
      <c r="S15" s="22" t="str">
        <f t="shared" si="2"/>
        <v>ACEPTABLE</v>
      </c>
    </row>
    <row r="16" spans="2:19" ht="13.5" customHeight="1" x14ac:dyDescent="0.2">
      <c r="B16" s="22" t="str">
        <f>'Valoración de Activos'!B20</f>
        <v>A14</v>
      </c>
      <c r="C16" s="23" t="str">
        <f>'Valoración de Activos'!F19</f>
        <v>Activo 13</v>
      </c>
      <c r="D16" s="24"/>
      <c r="E16" s="24"/>
      <c r="F16" s="25">
        <f>'Valoración de Activos'!O18</f>
        <v>1.3333333333333333</v>
      </c>
      <c r="G16" s="26">
        <v>1</v>
      </c>
      <c r="H16" s="26">
        <v>2</v>
      </c>
      <c r="I16" s="24"/>
      <c r="J16" s="27">
        <f t="shared" si="4"/>
        <v>2.6666666666666665</v>
      </c>
      <c r="K16" s="22" t="str">
        <f>IFERROR(VLOOKUP(J16,'Evaluación de Riesgos'!$N$3:$P$5,3,TRUE),"")</f>
        <v>BAJO</v>
      </c>
      <c r="L16" s="23" t="str">
        <f>IFERROR(VLOOKUP(J16,'Opc. Tratamiento Riesgo'!$F$3:$H$4,3,TRUE),"")</f>
        <v>RETENER / ACEPTAR</v>
      </c>
      <c r="M16" s="23" t="str">
        <f t="shared" ref="M16:M27" si="6">IF(AND(J16&gt;=9,J16&lt;=27),"CONTROL CORRECTIVO",IF(AND(J16&gt;=4,J16&lt;9),"CONTROL PREVENTIVO",IF(AND(J16&gt;=1,J16&lt;4),"MONITOREO Y CONTROL")))</f>
        <v>MONITOREO Y CONTROL</v>
      </c>
      <c r="N16" s="24"/>
      <c r="O16" s="28">
        <v>1</v>
      </c>
      <c r="P16" s="28">
        <v>1</v>
      </c>
      <c r="Q16" s="29">
        <f t="shared" ref="Q16:Q27" si="7">IF($F$5*O16*P16=0," ",$F$5*O16*P16)</f>
        <v>2.6666666666666665</v>
      </c>
      <c r="R16" s="22" t="str">
        <f>IFERROR(VLOOKUP(Q16,'Evaluación de Riesgos'!$N$3:$P$5,3,TRUE),"")</f>
        <v>BAJO</v>
      </c>
      <c r="S16" s="22" t="str">
        <f t="shared" ref="S16:S27" si="8">IF(Q16=" "," ",IF(Q16&lt;3,"ACEPTABLE","INACEPTABLE"))</f>
        <v>ACEPTABLE</v>
      </c>
    </row>
    <row r="17" spans="2:19" ht="13.5" customHeight="1" x14ac:dyDescent="0.2">
      <c r="B17" s="22" t="str">
        <f>'Valoración de Activos'!B21</f>
        <v>A15</v>
      </c>
      <c r="C17" s="23" t="str">
        <f>'Valoración de Activos'!F20</f>
        <v>Activo 14</v>
      </c>
      <c r="D17" s="24"/>
      <c r="E17" s="24"/>
      <c r="F17" s="25">
        <f>'Valoración de Activos'!O19</f>
        <v>1.6666666666666667</v>
      </c>
      <c r="G17" s="26">
        <v>3</v>
      </c>
      <c r="H17" s="26">
        <v>3</v>
      </c>
      <c r="I17" s="24"/>
      <c r="J17" s="27">
        <f t="shared" si="4"/>
        <v>15</v>
      </c>
      <c r="K17" s="22" t="str">
        <f>IFERROR(VLOOKUP(J17,'Evaluación de Riesgos'!$N$3:$P$5,3,TRUE),"")</f>
        <v>ALTO</v>
      </c>
      <c r="L17" s="23" t="str">
        <f>IFERROR(VLOOKUP(J17,'Opc. Tratamiento Riesgo'!$F$3:$H$4,3,TRUE),"")</f>
        <v xml:space="preserve">MODIFICAR / PREVENIR / COMPARTIR </v>
      </c>
      <c r="M17" s="23" t="str">
        <f t="shared" si="6"/>
        <v>CONTROL CORRECTIVO</v>
      </c>
      <c r="N17" s="24"/>
      <c r="O17" s="28">
        <v>1</v>
      </c>
      <c r="P17" s="28">
        <v>2</v>
      </c>
      <c r="Q17" s="29">
        <f t="shared" si="7"/>
        <v>5.333333333333333</v>
      </c>
      <c r="R17" s="22" t="str">
        <f>IFERROR(VLOOKUP(Q17,'Evaluación de Riesgos'!$N$3:$P$5,3,TRUE),"")</f>
        <v>MEDIO</v>
      </c>
      <c r="S17" s="22" t="str">
        <f t="shared" si="8"/>
        <v>INACEPTABLE</v>
      </c>
    </row>
    <row r="18" spans="2:19" ht="13.5" customHeight="1" x14ac:dyDescent="0.2">
      <c r="B18" s="22" t="str">
        <f>'Valoración de Activos'!B22</f>
        <v>A16</v>
      </c>
      <c r="C18" s="23" t="str">
        <f>'Valoración de Activos'!F21</f>
        <v>Activo 15</v>
      </c>
      <c r="D18" s="24"/>
      <c r="E18" s="24"/>
      <c r="F18" s="25">
        <f>'Valoración de Activos'!O20</f>
        <v>1.6666666666666667</v>
      </c>
      <c r="G18" s="26">
        <v>2</v>
      </c>
      <c r="H18" s="26">
        <v>3</v>
      </c>
      <c r="I18" s="24"/>
      <c r="J18" s="27">
        <f t="shared" si="4"/>
        <v>10</v>
      </c>
      <c r="K18" s="22" t="str">
        <f>IFERROR(VLOOKUP(J18,'Evaluación de Riesgos'!$N$3:$P$5,3,TRUE),"")</f>
        <v>ALTO</v>
      </c>
      <c r="L18" s="23" t="str">
        <f>IFERROR(VLOOKUP(J18,'Opc. Tratamiento Riesgo'!$F$3:$H$4,3,TRUE),"")</f>
        <v xml:space="preserve">MODIFICAR / PREVENIR / COMPARTIR </v>
      </c>
      <c r="M18" s="23" t="str">
        <f t="shared" si="6"/>
        <v>CONTROL CORRECTIVO</v>
      </c>
      <c r="N18" s="24"/>
      <c r="O18" s="28">
        <v>1</v>
      </c>
      <c r="P18" s="28">
        <v>1</v>
      </c>
      <c r="Q18" s="29">
        <f t="shared" si="7"/>
        <v>2.6666666666666665</v>
      </c>
      <c r="R18" s="22" t="str">
        <f>IFERROR(VLOOKUP(Q18,'Evaluación de Riesgos'!$N$3:$P$5,3,TRUE),"")</f>
        <v>BAJO</v>
      </c>
      <c r="S18" s="22" t="str">
        <f t="shared" si="8"/>
        <v>ACEPTABLE</v>
      </c>
    </row>
    <row r="19" spans="2:19" ht="13.5" customHeight="1" x14ac:dyDescent="0.2">
      <c r="B19" s="22" t="str">
        <f>'Valoración de Activos'!B23</f>
        <v>A17</v>
      </c>
      <c r="C19" s="23" t="str">
        <f>'Valoración de Activos'!F22</f>
        <v>Activo 16</v>
      </c>
      <c r="D19" s="24"/>
      <c r="E19" s="24"/>
      <c r="F19" s="25">
        <f>'Valoración de Activos'!O21</f>
        <v>1.6666666666666667</v>
      </c>
      <c r="G19" s="26">
        <v>2</v>
      </c>
      <c r="H19" s="26">
        <v>2</v>
      </c>
      <c r="I19" s="24"/>
      <c r="J19" s="27">
        <f t="shared" si="4"/>
        <v>6.666666666666667</v>
      </c>
      <c r="K19" s="22" t="str">
        <f>IFERROR(VLOOKUP(J19,'Evaluación de Riesgos'!$N$3:$P$5,3,TRUE),"")</f>
        <v>MEDIO</v>
      </c>
      <c r="L19" s="23" t="str">
        <f>IFERROR(VLOOKUP(J19,'Opc. Tratamiento Riesgo'!$F$3:$H$4,3,TRUE),"")</f>
        <v xml:space="preserve">MODIFICAR / PREVENIR / COMPARTIR </v>
      </c>
      <c r="M19" s="23" t="str">
        <f t="shared" si="6"/>
        <v>CONTROL PREVENTIVO</v>
      </c>
      <c r="N19" s="24"/>
      <c r="O19" s="28">
        <v>1</v>
      </c>
      <c r="P19" s="28">
        <v>2</v>
      </c>
      <c r="Q19" s="29">
        <f t="shared" si="7"/>
        <v>5.333333333333333</v>
      </c>
      <c r="R19" s="22" t="str">
        <f>IFERROR(VLOOKUP(Q19,'Evaluación de Riesgos'!$N$3:$P$5,3,TRUE),"")</f>
        <v>MEDIO</v>
      </c>
      <c r="S19" s="22" t="str">
        <f t="shared" si="8"/>
        <v>INACEPTABLE</v>
      </c>
    </row>
    <row r="20" spans="2:19" ht="13.5" customHeight="1" x14ac:dyDescent="0.2">
      <c r="B20" s="22" t="str">
        <f>'Valoración de Activos'!B24</f>
        <v>A18</v>
      </c>
      <c r="C20" s="23" t="str">
        <f>'Valoración de Activos'!F23</f>
        <v>Activo 17</v>
      </c>
      <c r="D20" s="24"/>
      <c r="E20" s="24"/>
      <c r="F20" s="25">
        <f>'Valoración de Activos'!O22</f>
        <v>1.3333333333333333</v>
      </c>
      <c r="G20" s="26">
        <v>2</v>
      </c>
      <c r="H20" s="26">
        <v>3</v>
      </c>
      <c r="I20" s="24"/>
      <c r="J20" s="27">
        <f t="shared" si="4"/>
        <v>8</v>
      </c>
      <c r="K20" s="22" t="str">
        <f>IFERROR(VLOOKUP(J20,'Evaluación de Riesgos'!$N$3:$P$5,3,TRUE),"")</f>
        <v>MEDIO</v>
      </c>
      <c r="L20" s="23" t="str">
        <f>IFERROR(VLOOKUP(J20,'Opc. Tratamiento Riesgo'!$F$3:$H$4,3,TRUE),"")</f>
        <v xml:space="preserve">MODIFICAR / PREVENIR / COMPARTIR </v>
      </c>
      <c r="M20" s="23" t="str">
        <f t="shared" si="6"/>
        <v>CONTROL PREVENTIVO</v>
      </c>
      <c r="N20" s="24"/>
      <c r="O20" s="28">
        <v>1</v>
      </c>
      <c r="P20" s="28">
        <v>1</v>
      </c>
      <c r="Q20" s="29">
        <f t="shared" si="7"/>
        <v>2.6666666666666665</v>
      </c>
      <c r="R20" s="22" t="str">
        <f>IFERROR(VLOOKUP(Q20,'Evaluación de Riesgos'!$N$3:$P$5,3,TRUE),"")</f>
        <v>BAJO</v>
      </c>
      <c r="S20" s="22" t="str">
        <f t="shared" si="8"/>
        <v>ACEPTABLE</v>
      </c>
    </row>
    <row r="21" spans="2:19" ht="13.5" customHeight="1" x14ac:dyDescent="0.2">
      <c r="B21" s="22" t="str">
        <f>'Valoración de Activos'!B25</f>
        <v>A19</v>
      </c>
      <c r="C21" s="23" t="str">
        <f>'Valoración de Activos'!F24</f>
        <v>Activo 18</v>
      </c>
      <c r="D21" s="24"/>
      <c r="E21" s="24"/>
      <c r="F21" s="25">
        <f>'Valoración de Activos'!O23</f>
        <v>1.3333333333333333</v>
      </c>
      <c r="G21" s="26">
        <v>2</v>
      </c>
      <c r="H21" s="26">
        <v>3</v>
      </c>
      <c r="I21" s="24"/>
      <c r="J21" s="27">
        <f t="shared" si="4"/>
        <v>8</v>
      </c>
      <c r="K21" s="22" t="str">
        <f>IFERROR(VLOOKUP(J21,'Evaluación de Riesgos'!$N$3:$P$5,3,TRUE),"")</f>
        <v>MEDIO</v>
      </c>
      <c r="L21" s="23" t="str">
        <f>IFERROR(VLOOKUP(J21,'Opc. Tratamiento Riesgo'!$F$3:$H$4,3,TRUE),"")</f>
        <v xml:space="preserve">MODIFICAR / PREVENIR / COMPARTIR </v>
      </c>
      <c r="M21" s="23" t="str">
        <f t="shared" si="6"/>
        <v>CONTROL PREVENTIVO</v>
      </c>
      <c r="N21" s="24"/>
      <c r="O21" s="28">
        <v>1</v>
      </c>
      <c r="P21" s="28">
        <v>1</v>
      </c>
      <c r="Q21" s="29">
        <f t="shared" si="7"/>
        <v>2.6666666666666665</v>
      </c>
      <c r="R21" s="22" t="str">
        <f>IFERROR(VLOOKUP(Q21,'Evaluación de Riesgos'!$N$3:$P$5,3,TRUE),"")</f>
        <v>BAJO</v>
      </c>
      <c r="S21" s="22" t="str">
        <f t="shared" si="8"/>
        <v>ACEPTABLE</v>
      </c>
    </row>
    <row r="22" spans="2:19" ht="13.5" customHeight="1" x14ac:dyDescent="0.2">
      <c r="B22" s="22" t="str">
        <f>'Valoración de Activos'!B26</f>
        <v>A20</v>
      </c>
      <c r="C22" s="23" t="str">
        <f>'Valoración de Activos'!F25</f>
        <v>Activo 19</v>
      </c>
      <c r="D22" s="24"/>
      <c r="E22" s="24"/>
      <c r="F22" s="25">
        <f>'Valoración de Activos'!O24</f>
        <v>1.3333333333333333</v>
      </c>
      <c r="G22" s="26">
        <v>2</v>
      </c>
      <c r="H22" s="26">
        <v>3</v>
      </c>
      <c r="I22" s="24"/>
      <c r="J22" s="27">
        <f t="shared" si="4"/>
        <v>8</v>
      </c>
      <c r="K22" s="22" t="str">
        <f>IFERROR(VLOOKUP(J22,'Evaluación de Riesgos'!$N$3:$P$5,3,TRUE),"")</f>
        <v>MEDIO</v>
      </c>
      <c r="L22" s="23" t="str">
        <f>IFERROR(VLOOKUP(J22,'Opc. Tratamiento Riesgo'!$F$3:$H$4,3,TRUE),"")</f>
        <v xml:space="preserve">MODIFICAR / PREVENIR / COMPARTIR </v>
      </c>
      <c r="M22" s="23" t="str">
        <f t="shared" si="6"/>
        <v>CONTROL PREVENTIVO</v>
      </c>
      <c r="N22" s="24"/>
      <c r="O22" s="28">
        <v>1</v>
      </c>
      <c r="P22" s="28">
        <v>1</v>
      </c>
      <c r="Q22" s="29">
        <f t="shared" si="7"/>
        <v>2.6666666666666665</v>
      </c>
      <c r="R22" s="22" t="str">
        <f>IFERROR(VLOOKUP(Q22,'Evaluación de Riesgos'!$N$3:$P$5,3,TRUE),"")</f>
        <v>BAJO</v>
      </c>
      <c r="S22" s="22" t="str">
        <f t="shared" si="8"/>
        <v>ACEPTABLE</v>
      </c>
    </row>
    <row r="23" spans="2:19" ht="13.5" customHeight="1" x14ac:dyDescent="0.2">
      <c r="B23" s="22" t="str">
        <f>'Valoración de Activos'!B27</f>
        <v>A21</v>
      </c>
      <c r="C23" s="23" t="str">
        <f>'Valoración de Activos'!F26</f>
        <v>Activo 20</v>
      </c>
      <c r="D23" s="24"/>
      <c r="E23" s="24"/>
      <c r="F23" s="25">
        <f>'Valoración de Activos'!O25</f>
        <v>1.3333333333333333</v>
      </c>
      <c r="G23" s="26">
        <v>2</v>
      </c>
      <c r="H23" s="26">
        <v>3</v>
      </c>
      <c r="I23" s="24"/>
      <c r="J23" s="27">
        <f t="shared" si="4"/>
        <v>8</v>
      </c>
      <c r="K23" s="22" t="str">
        <f>IFERROR(VLOOKUP(J23,'Evaluación de Riesgos'!$N$3:$P$5,3,TRUE),"")</f>
        <v>MEDIO</v>
      </c>
      <c r="L23" s="23" t="str">
        <f>IFERROR(VLOOKUP(J23,'Opc. Tratamiento Riesgo'!$F$3:$H$4,3,TRUE),"")</f>
        <v xml:space="preserve">MODIFICAR / PREVENIR / COMPARTIR </v>
      </c>
      <c r="M23" s="23" t="str">
        <f t="shared" si="6"/>
        <v>CONTROL PREVENTIVO</v>
      </c>
      <c r="N23" s="24"/>
      <c r="O23" s="28">
        <v>1</v>
      </c>
      <c r="P23" s="28">
        <v>2</v>
      </c>
      <c r="Q23" s="29">
        <f t="shared" si="7"/>
        <v>5.333333333333333</v>
      </c>
      <c r="R23" s="22" t="str">
        <f>IFERROR(VLOOKUP(Q23,'Evaluación de Riesgos'!$N$3:$P$5,3,TRUE),"")</f>
        <v>MEDIO</v>
      </c>
      <c r="S23" s="22" t="str">
        <f t="shared" si="8"/>
        <v>INACEPTABLE</v>
      </c>
    </row>
    <row r="24" spans="2:19" ht="13.5" customHeight="1" x14ac:dyDescent="0.2">
      <c r="B24" s="22" t="str">
        <f>'Valoración de Activos'!B28</f>
        <v>A22</v>
      </c>
      <c r="C24" s="23" t="str">
        <f>'Valoración de Activos'!F27</f>
        <v>Activo 21</v>
      </c>
      <c r="D24" s="24"/>
      <c r="E24" s="24"/>
      <c r="F24" s="25">
        <f>'Valoración de Activos'!O26</f>
        <v>1.3333333333333333</v>
      </c>
      <c r="G24" s="26">
        <v>2</v>
      </c>
      <c r="H24" s="26">
        <v>1</v>
      </c>
      <c r="I24" s="24"/>
      <c r="J24" s="27">
        <f t="shared" si="4"/>
        <v>2.6666666666666665</v>
      </c>
      <c r="K24" s="22" t="str">
        <f>IFERROR(VLOOKUP(J24,'Evaluación de Riesgos'!$N$3:$P$5,3,TRUE),"")</f>
        <v>BAJO</v>
      </c>
      <c r="L24" s="23" t="str">
        <f>IFERROR(VLOOKUP(J24,'Opc. Tratamiento Riesgo'!$F$3:$H$4,3,TRUE),"")</f>
        <v>RETENER / ACEPTAR</v>
      </c>
      <c r="M24" s="23" t="str">
        <f t="shared" si="6"/>
        <v>MONITOREO Y CONTROL</v>
      </c>
      <c r="N24" s="24"/>
      <c r="O24" s="28">
        <v>1</v>
      </c>
      <c r="P24" s="28">
        <v>1</v>
      </c>
      <c r="Q24" s="29">
        <f t="shared" si="7"/>
        <v>2.6666666666666665</v>
      </c>
      <c r="R24" s="22" t="str">
        <f>IFERROR(VLOOKUP(Q24,'Evaluación de Riesgos'!$N$3:$P$5,3,TRUE),"")</f>
        <v>BAJO</v>
      </c>
      <c r="S24" s="22" t="str">
        <f t="shared" si="8"/>
        <v>ACEPTABLE</v>
      </c>
    </row>
    <row r="25" spans="2:19" ht="13.5" customHeight="1" x14ac:dyDescent="0.2">
      <c r="B25" s="22" t="str">
        <f>'Valoración de Activos'!B29</f>
        <v>A23</v>
      </c>
      <c r="C25" s="23" t="str">
        <f>'Valoración de Activos'!F28</f>
        <v>Activo 22</v>
      </c>
      <c r="D25" s="24"/>
      <c r="E25" s="24"/>
      <c r="F25" s="25">
        <f>'Valoración de Activos'!O27</f>
        <v>1.3333333333333333</v>
      </c>
      <c r="G25" s="26">
        <v>2</v>
      </c>
      <c r="H25" s="26">
        <v>3</v>
      </c>
      <c r="I25" s="24"/>
      <c r="J25" s="27">
        <f t="shared" si="4"/>
        <v>8</v>
      </c>
      <c r="K25" s="22" t="str">
        <f>IFERROR(VLOOKUP(J25,'Evaluación de Riesgos'!$N$3:$P$5,3,TRUE),"")</f>
        <v>MEDIO</v>
      </c>
      <c r="L25" s="23" t="str">
        <f>IFERROR(VLOOKUP(J25,'Opc. Tratamiento Riesgo'!$F$3:$H$4,3,TRUE),"")</f>
        <v xml:space="preserve">MODIFICAR / PREVENIR / COMPARTIR </v>
      </c>
      <c r="M25" s="23" t="str">
        <f t="shared" si="6"/>
        <v>CONTROL PREVENTIVO</v>
      </c>
      <c r="N25" s="24"/>
      <c r="O25" s="28">
        <v>1</v>
      </c>
      <c r="P25" s="28">
        <v>2</v>
      </c>
      <c r="Q25" s="29">
        <f t="shared" si="7"/>
        <v>5.333333333333333</v>
      </c>
      <c r="R25" s="22" t="str">
        <f>IFERROR(VLOOKUP(Q25,'Evaluación de Riesgos'!$N$3:$P$5,3,TRUE),"")</f>
        <v>MEDIO</v>
      </c>
      <c r="S25" s="22" t="str">
        <f t="shared" si="8"/>
        <v>INACEPTABLE</v>
      </c>
    </row>
    <row r="26" spans="2:19" ht="13.5" customHeight="1" x14ac:dyDescent="0.2">
      <c r="B26" s="22" t="str">
        <f>'Valoración de Activos'!B30</f>
        <v>A24</v>
      </c>
      <c r="C26" s="23" t="str">
        <f>'Valoración de Activos'!F29</f>
        <v>Activo 23</v>
      </c>
      <c r="D26" s="24"/>
      <c r="E26" s="24"/>
      <c r="F26" s="25">
        <f>'Valoración de Activos'!O28</f>
        <v>1.3333333333333333</v>
      </c>
      <c r="G26" s="26">
        <v>3</v>
      </c>
      <c r="H26" s="26">
        <v>3</v>
      </c>
      <c r="I26" s="24"/>
      <c r="J26" s="27">
        <f t="shared" si="4"/>
        <v>12</v>
      </c>
      <c r="K26" s="22" t="str">
        <f>IFERROR(VLOOKUP(J26,'Evaluación de Riesgos'!$N$3:$P$5,3,TRUE),"")</f>
        <v>ALTO</v>
      </c>
      <c r="L26" s="23" t="str">
        <f>IFERROR(VLOOKUP(J26,'Opc. Tratamiento Riesgo'!$F$3:$H$4,3,TRUE),"")</f>
        <v xml:space="preserve">MODIFICAR / PREVENIR / COMPARTIR </v>
      </c>
      <c r="M26" s="23" t="str">
        <f t="shared" si="6"/>
        <v>CONTROL CORRECTIVO</v>
      </c>
      <c r="N26" s="24"/>
      <c r="O26" s="28">
        <v>1</v>
      </c>
      <c r="P26" s="28">
        <v>1</v>
      </c>
      <c r="Q26" s="29">
        <f t="shared" si="7"/>
        <v>2.6666666666666665</v>
      </c>
      <c r="R26" s="22" t="str">
        <f>IFERROR(VLOOKUP(Q26,'Evaluación de Riesgos'!$N$3:$P$5,3,TRUE),"")</f>
        <v>BAJO</v>
      </c>
      <c r="S26" s="22" t="str">
        <f t="shared" si="8"/>
        <v>ACEPTABLE</v>
      </c>
    </row>
    <row r="27" spans="2:19" ht="13.5" customHeight="1" x14ac:dyDescent="0.2">
      <c r="B27" s="22" t="str">
        <f>'Valoración de Activos'!B31</f>
        <v>A25</v>
      </c>
      <c r="C27" s="23" t="str">
        <f>'Valoración de Activos'!F30</f>
        <v>Activo 24</v>
      </c>
      <c r="D27" s="24"/>
      <c r="E27" s="24"/>
      <c r="F27" s="25">
        <f>'Valoración de Activos'!O29</f>
        <v>1.3333333333333333</v>
      </c>
      <c r="G27" s="26">
        <v>3</v>
      </c>
      <c r="H27" s="26">
        <v>3</v>
      </c>
      <c r="I27" s="24"/>
      <c r="J27" s="27">
        <f t="shared" si="4"/>
        <v>12</v>
      </c>
      <c r="K27" s="22" t="str">
        <f>IFERROR(VLOOKUP(J27,'Evaluación de Riesgos'!$N$3:$P$5,3,TRUE),"")</f>
        <v>ALTO</v>
      </c>
      <c r="L27" s="23" t="str">
        <f>IFERROR(VLOOKUP(J27,'Opc. Tratamiento Riesgo'!$F$3:$H$4,3,TRUE),"")</f>
        <v xml:space="preserve">MODIFICAR / PREVENIR / COMPARTIR </v>
      </c>
      <c r="M27" s="23" t="str">
        <f t="shared" si="6"/>
        <v>CONTROL CORRECTIVO</v>
      </c>
      <c r="N27" s="24"/>
      <c r="O27" s="28">
        <v>1</v>
      </c>
      <c r="P27" s="28">
        <v>2</v>
      </c>
      <c r="Q27" s="29">
        <f t="shared" si="7"/>
        <v>5.333333333333333</v>
      </c>
      <c r="R27" s="22" t="str">
        <f>IFERROR(VLOOKUP(Q27,'Evaluación de Riesgos'!$N$3:$P$5,3,TRUE),"")</f>
        <v>MEDIO</v>
      </c>
      <c r="S27" s="22" t="str">
        <f t="shared" si="8"/>
        <v>INACEPTABLE</v>
      </c>
    </row>
  </sheetData>
  <mergeCells count="8">
    <mergeCell ref="B2:E3"/>
    <mergeCell ref="F2:K2"/>
    <mergeCell ref="L2:R3"/>
    <mergeCell ref="S2:S4"/>
    <mergeCell ref="G3:H3"/>
    <mergeCell ref="I3:I4"/>
    <mergeCell ref="J3:J4"/>
    <mergeCell ref="K3:K4"/>
  </mergeCells>
  <conditionalFormatting sqref="K5 K11:K27">
    <cfRule type="cellIs" dxfId="109" priority="41" operator="equal">
      <formula>"BAJO"</formula>
    </cfRule>
    <cfRule type="cellIs" dxfId="108" priority="42" operator="equal">
      <formula>"MEDIO"</formula>
    </cfRule>
    <cfRule type="cellIs" dxfId="107" priority="43" operator="equal">
      <formula>"ALTO"</formula>
    </cfRule>
  </conditionalFormatting>
  <conditionalFormatting sqref="K5:K27">
    <cfRule type="cellIs" dxfId="106" priority="38" operator="equal">
      <formula>"BAJO"</formula>
    </cfRule>
    <cfRule type="cellIs" dxfId="105" priority="39" operator="equal">
      <formula>"MEDIO"</formula>
    </cfRule>
    <cfRule type="cellIs" dxfId="104" priority="40" operator="equal">
      <formula>"ALTO"</formula>
    </cfRule>
  </conditionalFormatting>
  <conditionalFormatting sqref="L5:L27">
    <cfRule type="cellIs" dxfId="103" priority="35" operator="equal">
      <formula>"ACEPTAR"</formula>
    </cfRule>
    <cfRule type="cellIs" dxfId="102" priority="36" operator="equal">
      <formula>"MITIGAR / EVITAR / TRANSFERIR "</formula>
    </cfRule>
    <cfRule type="cellIs" dxfId="101" priority="37" operator="equal">
      <formula>"MITIGAR / EVITAR / TRANSFERIR "</formula>
    </cfRule>
  </conditionalFormatting>
  <conditionalFormatting sqref="L5:L27">
    <cfRule type="cellIs" dxfId="100" priority="33" operator="equal">
      <formula>"ACEPTAR"</formula>
    </cfRule>
    <cfRule type="cellIs" dxfId="99" priority="34" operator="equal">
      <formula>"MITIGAR / EVITAR / TRANSFERIR "</formula>
    </cfRule>
  </conditionalFormatting>
  <conditionalFormatting sqref="M5:M27">
    <cfRule type="cellIs" dxfId="98" priority="30" operator="equal">
      <formula>"NO APLICA CONTROL"</formula>
    </cfRule>
    <cfRule type="cellIs" dxfId="97" priority="31" operator="equal">
      <formula>"CONTROL CORRECTIVO"</formula>
    </cfRule>
    <cfRule type="cellIs" dxfId="96" priority="32" operator="equal">
      <formula>"CONTROL PREVENTIVO"</formula>
    </cfRule>
  </conditionalFormatting>
  <conditionalFormatting sqref="S5:S27">
    <cfRule type="cellIs" dxfId="95" priority="28" operator="equal">
      <formula>"INACEPTABLE"</formula>
    </cfRule>
    <cfRule type="cellIs" dxfId="94" priority="29" operator="equal">
      <formula>"ACEPTABLE"</formula>
    </cfRule>
  </conditionalFormatting>
  <conditionalFormatting sqref="R5:R27">
    <cfRule type="cellIs" dxfId="93" priority="25" stopIfTrue="1" operator="equal">
      <formula>"BAJO"</formula>
    </cfRule>
    <cfRule type="cellIs" dxfId="92" priority="26" stopIfTrue="1" operator="equal">
      <formula>"MEDIO"</formula>
    </cfRule>
    <cfRule type="cellIs" dxfId="91" priority="27" stopIfTrue="1" operator="equal">
      <formula>"ALTO"</formula>
    </cfRule>
  </conditionalFormatting>
  <conditionalFormatting sqref="K6">
    <cfRule type="cellIs" dxfId="90" priority="19" operator="equal">
      <formula>"BAJO"</formula>
    </cfRule>
    <cfRule type="cellIs" dxfId="89" priority="20" operator="equal">
      <formula>"MEDIO"</formula>
    </cfRule>
    <cfRule type="cellIs" dxfId="88" priority="21" operator="equal">
      <formula>"ALTO"</formula>
    </cfRule>
  </conditionalFormatting>
  <conditionalFormatting sqref="L15:L27">
    <cfRule type="cellIs" dxfId="87" priority="16" operator="equal">
      <formula>"ACEPTAR"</formula>
    </cfRule>
    <cfRule type="cellIs" dxfId="86" priority="17" operator="equal">
      <formula>"MITIGAR / EVITAR / TRANSFERIR "</formula>
    </cfRule>
    <cfRule type="cellIs" dxfId="85" priority="18" operator="equal">
      <formula>"MITIGAR / EVITAR / TRANSFERIR "</formula>
    </cfRule>
  </conditionalFormatting>
  <conditionalFormatting sqref="M5:M27">
    <cfRule type="cellIs" dxfId="84" priority="6" operator="equal">
      <formula>"MONITOREO AL CONTROL"</formula>
    </cfRule>
    <cfRule type="cellIs" dxfId="83" priority="7" operator="equal">
      <formula>"MONITOREO AL CONTROL"</formula>
    </cfRule>
  </conditionalFormatting>
  <conditionalFormatting sqref="M5:M27">
    <cfRule type="cellIs" dxfId="82" priority="5" operator="equal">
      <formula>"MONITOREO Y CONTROL"</formula>
    </cfRule>
  </conditionalFormatting>
  <conditionalFormatting sqref="M6:M27">
    <cfRule type="cellIs" dxfId="81" priority="4" operator="equal">
      <formula>"MONITOREO Y CONTROL"</formula>
    </cfRule>
  </conditionalFormatting>
  <conditionalFormatting sqref="M6:M27">
    <cfRule type="cellIs" dxfId="80" priority="3" operator="equal">
      <formula>"CONTROL PREVENTIVO"</formula>
    </cfRule>
  </conditionalFormatting>
  <conditionalFormatting sqref="L5:L27">
    <cfRule type="cellIs" dxfId="79" priority="2" operator="equal">
      <formula>"RETENCIÓN / ACEPTACIÓN DEL RIESGO"</formula>
    </cfRule>
  </conditionalFormatting>
  <conditionalFormatting sqref="L5:L27">
    <cfRule type="cellIs" dxfId="78" priority="1" operator="equal">
      <formula>"MODIFICAR / PREVENCION / COMPARTIR "</formula>
    </cfRule>
  </conditionalFormatting>
  <dataValidations count="1">
    <dataValidation type="whole" allowBlank="1" showInputMessage="1" showErrorMessage="1" error="Valores permitidos entre 1 y 3" sqref="G5:H27 O5:P27" xr:uid="{784FEF00-DFEE-42BB-9A5E-93CCA1E58B71}">
      <formula1>1</formula1>
      <formula2>3</formula2>
    </dataValidation>
  </dataValidation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69124-FC40-4FAF-9E67-8E30069F2485}">
  <dimension ref="B1:F75"/>
  <sheetViews>
    <sheetView zoomScale="80" zoomScaleNormal="80" workbookViewId="0">
      <selection activeCell="B1" sqref="B1:D1"/>
    </sheetView>
  </sheetViews>
  <sheetFormatPr baseColWidth="10" defaultRowHeight="12.75" x14ac:dyDescent="0.2"/>
  <cols>
    <col min="1" max="1" width="4.5703125" customWidth="1"/>
    <col min="2" max="2" width="47.5703125" customWidth="1"/>
    <col min="3" max="3" width="65.42578125" customWidth="1"/>
    <col min="4" max="4" width="14.85546875" style="87" customWidth="1"/>
    <col min="6" max="6" width="15.140625" bestFit="1" customWidth="1"/>
  </cols>
  <sheetData>
    <row r="1" spans="2:6" ht="50.25" customHeight="1" x14ac:dyDescent="0.2">
      <c r="B1" s="124" t="s">
        <v>286</v>
      </c>
      <c r="C1" s="124"/>
      <c r="D1" s="124"/>
    </row>
    <row r="2" spans="2:6" ht="4.5" customHeight="1" x14ac:dyDescent="0.2">
      <c r="B2" s="121"/>
      <c r="C2" s="121"/>
    </row>
    <row r="3" spans="2:6" ht="37.5" customHeight="1" x14ac:dyDescent="0.2">
      <c r="B3" s="123" t="s">
        <v>359</v>
      </c>
      <c r="C3" s="112"/>
      <c r="D3" s="112"/>
    </row>
    <row r="4" spans="2:6" ht="5.25" customHeight="1" x14ac:dyDescent="0.2">
      <c r="B4" s="120"/>
      <c r="C4" s="120"/>
    </row>
    <row r="5" spans="2:6" s="63" customFormat="1" ht="24" x14ac:dyDescent="0.2">
      <c r="B5" s="85" t="s">
        <v>287</v>
      </c>
      <c r="C5" s="86" t="s">
        <v>288</v>
      </c>
      <c r="D5" s="84" t="s">
        <v>413</v>
      </c>
    </row>
    <row r="6" spans="2:6" s="63" customFormat="1" ht="12" x14ac:dyDescent="0.2">
      <c r="B6" s="64"/>
      <c r="C6" s="65" t="s">
        <v>289</v>
      </c>
      <c r="D6" s="88"/>
    </row>
    <row r="7" spans="2:6" s="63" customFormat="1" ht="12" x14ac:dyDescent="0.2">
      <c r="B7" s="122" t="s">
        <v>289</v>
      </c>
      <c r="C7" s="66" t="s">
        <v>177</v>
      </c>
      <c r="D7" s="89" t="s">
        <v>414</v>
      </c>
      <c r="F7" s="90" t="s">
        <v>420</v>
      </c>
    </row>
    <row r="8" spans="2:6" s="63" customFormat="1" ht="12" x14ac:dyDescent="0.2">
      <c r="B8" s="122"/>
      <c r="C8" s="66" t="s">
        <v>290</v>
      </c>
      <c r="D8" s="88" t="s">
        <v>412</v>
      </c>
      <c r="F8" s="90" t="s">
        <v>421</v>
      </c>
    </row>
    <row r="9" spans="2:6" s="63" customFormat="1" ht="12" x14ac:dyDescent="0.2">
      <c r="B9" s="122"/>
      <c r="C9" s="66" t="s">
        <v>180</v>
      </c>
      <c r="D9" s="89" t="s">
        <v>412</v>
      </c>
      <c r="F9" s="90" t="s">
        <v>422</v>
      </c>
    </row>
    <row r="10" spans="2:6" s="63" customFormat="1" ht="12" x14ac:dyDescent="0.2">
      <c r="B10" s="122"/>
      <c r="C10" s="66" t="s">
        <v>181</v>
      </c>
      <c r="D10" s="88" t="s">
        <v>412</v>
      </c>
    </row>
    <row r="11" spans="2:6" s="63" customFormat="1" ht="12" x14ac:dyDescent="0.2">
      <c r="B11" s="122"/>
      <c r="C11" s="66" t="s">
        <v>183</v>
      </c>
      <c r="D11" s="89" t="s">
        <v>412</v>
      </c>
    </row>
    <row r="12" spans="2:6" s="63" customFormat="1" ht="12" x14ac:dyDescent="0.2">
      <c r="B12" s="122"/>
      <c r="C12" s="67" t="s">
        <v>291</v>
      </c>
      <c r="D12" s="88" t="s">
        <v>412</v>
      </c>
    </row>
    <row r="13" spans="2:6" s="63" customFormat="1" ht="4.5" customHeight="1" x14ac:dyDescent="0.2">
      <c r="B13" s="68"/>
      <c r="C13" s="79"/>
      <c r="D13" s="88"/>
    </row>
    <row r="14" spans="2:6" s="63" customFormat="1" ht="12" x14ac:dyDescent="0.2">
      <c r="B14" s="69"/>
      <c r="C14" s="65" t="s">
        <v>292</v>
      </c>
      <c r="D14" s="88"/>
    </row>
    <row r="15" spans="2:6" s="63" customFormat="1" ht="12" x14ac:dyDescent="0.2">
      <c r="B15" s="122" t="s">
        <v>292</v>
      </c>
      <c r="C15" s="66" t="s">
        <v>185</v>
      </c>
      <c r="D15" s="89" t="s">
        <v>415</v>
      </c>
    </row>
    <row r="16" spans="2:6" s="63" customFormat="1" ht="12" x14ac:dyDescent="0.2">
      <c r="B16" s="122"/>
      <c r="C16" s="66" t="s">
        <v>187</v>
      </c>
      <c r="D16" s="88" t="s">
        <v>415</v>
      </c>
    </row>
    <row r="17" spans="2:4" s="63" customFormat="1" ht="12" x14ac:dyDescent="0.2">
      <c r="B17" s="122"/>
      <c r="C17" s="66" t="s">
        <v>293</v>
      </c>
      <c r="D17" s="89" t="s">
        <v>415</v>
      </c>
    </row>
    <row r="18" spans="2:4" s="63" customFormat="1" ht="12" x14ac:dyDescent="0.2">
      <c r="B18" s="122"/>
      <c r="C18" s="66" t="s">
        <v>190</v>
      </c>
      <c r="D18" s="88" t="s">
        <v>415</v>
      </c>
    </row>
    <row r="19" spans="2:4" s="63" customFormat="1" ht="12" x14ac:dyDescent="0.2">
      <c r="B19" s="122"/>
      <c r="C19" s="66" t="s">
        <v>192</v>
      </c>
      <c r="D19" s="89" t="s">
        <v>415</v>
      </c>
    </row>
    <row r="20" spans="2:4" s="63" customFormat="1" ht="12" x14ac:dyDescent="0.2">
      <c r="B20" s="122"/>
      <c r="C20" s="67" t="s">
        <v>294</v>
      </c>
      <c r="D20" s="88" t="s">
        <v>415</v>
      </c>
    </row>
    <row r="21" spans="2:4" s="63" customFormat="1" ht="6" customHeight="1" x14ac:dyDescent="0.2">
      <c r="B21" s="70"/>
      <c r="C21" s="79"/>
      <c r="D21" s="88"/>
    </row>
    <row r="22" spans="2:4" s="63" customFormat="1" ht="12" x14ac:dyDescent="0.2">
      <c r="B22" s="71"/>
      <c r="C22" s="65" t="s">
        <v>394</v>
      </c>
      <c r="D22" s="88"/>
    </row>
    <row r="23" spans="2:4" s="63" customFormat="1" ht="12" x14ac:dyDescent="0.2">
      <c r="B23" s="122" t="s">
        <v>394</v>
      </c>
      <c r="C23" s="66" t="s">
        <v>195</v>
      </c>
      <c r="D23" s="88" t="s">
        <v>417</v>
      </c>
    </row>
    <row r="24" spans="2:4" s="63" customFormat="1" ht="12" x14ac:dyDescent="0.2">
      <c r="B24" s="122"/>
      <c r="C24" s="66" t="s">
        <v>393</v>
      </c>
      <c r="D24" s="88" t="s">
        <v>417</v>
      </c>
    </row>
    <row r="25" spans="2:4" s="63" customFormat="1" ht="12" x14ac:dyDescent="0.2">
      <c r="B25" s="122"/>
      <c r="C25" s="66" t="s">
        <v>198</v>
      </c>
      <c r="D25" s="88" t="s">
        <v>412</v>
      </c>
    </row>
    <row r="26" spans="2:4" s="63" customFormat="1" ht="12" x14ac:dyDescent="0.2">
      <c r="B26" s="122"/>
      <c r="C26" s="66" t="s">
        <v>200</v>
      </c>
      <c r="D26" s="88" t="s">
        <v>412</v>
      </c>
    </row>
    <row r="27" spans="2:4" s="63" customFormat="1" ht="12" x14ac:dyDescent="0.2">
      <c r="B27" s="122"/>
      <c r="C27" s="66" t="s">
        <v>204</v>
      </c>
      <c r="D27" s="88" t="s">
        <v>412</v>
      </c>
    </row>
    <row r="28" spans="2:4" s="63" customFormat="1" ht="12" x14ac:dyDescent="0.2">
      <c r="B28" s="122"/>
      <c r="C28" s="66" t="s">
        <v>202</v>
      </c>
      <c r="D28" s="88" t="s">
        <v>417</v>
      </c>
    </row>
    <row r="29" spans="2:4" s="63" customFormat="1" ht="12" x14ac:dyDescent="0.2">
      <c r="B29" s="122"/>
      <c r="C29" s="66" t="s">
        <v>205</v>
      </c>
      <c r="D29" s="88" t="s">
        <v>412</v>
      </c>
    </row>
    <row r="30" spans="2:4" s="63" customFormat="1" ht="12" x14ac:dyDescent="0.2">
      <c r="B30" s="122"/>
      <c r="C30" s="67" t="s">
        <v>207</v>
      </c>
      <c r="D30" s="88" t="s">
        <v>412</v>
      </c>
    </row>
    <row r="31" spans="2:4" s="63" customFormat="1" ht="3.75" customHeight="1" x14ac:dyDescent="0.2">
      <c r="B31" s="70"/>
      <c r="C31" s="80"/>
      <c r="D31" s="88"/>
    </row>
    <row r="32" spans="2:4" s="63" customFormat="1" ht="12" x14ac:dyDescent="0.2">
      <c r="B32" s="70"/>
      <c r="C32" s="81" t="s">
        <v>295</v>
      </c>
      <c r="D32" s="88"/>
    </row>
    <row r="33" spans="2:4" s="63" customFormat="1" ht="12" x14ac:dyDescent="0.2">
      <c r="B33" s="125" t="s">
        <v>295</v>
      </c>
      <c r="C33" s="82" t="s">
        <v>395</v>
      </c>
      <c r="D33" s="88" t="s">
        <v>416</v>
      </c>
    </row>
    <row r="34" spans="2:4" s="63" customFormat="1" ht="12" x14ac:dyDescent="0.2">
      <c r="B34" s="125"/>
      <c r="C34" s="82" t="s">
        <v>296</v>
      </c>
      <c r="D34" s="88" t="s">
        <v>417</v>
      </c>
    </row>
    <row r="35" spans="2:4" s="63" customFormat="1" ht="12" x14ac:dyDescent="0.2">
      <c r="B35" s="125"/>
      <c r="C35" s="82" t="s">
        <v>211</v>
      </c>
      <c r="D35" s="88" t="s">
        <v>417</v>
      </c>
    </row>
    <row r="36" spans="2:4" s="63" customFormat="1" ht="3.75" customHeight="1" x14ac:dyDescent="0.2">
      <c r="B36" s="70"/>
      <c r="C36" s="83"/>
      <c r="D36" s="88"/>
    </row>
    <row r="37" spans="2:4" s="63" customFormat="1" ht="12" x14ac:dyDescent="0.2">
      <c r="B37" s="71"/>
      <c r="C37" s="65" t="s">
        <v>297</v>
      </c>
      <c r="D37" s="88"/>
    </row>
    <row r="38" spans="2:4" s="63" customFormat="1" ht="12" x14ac:dyDescent="0.2">
      <c r="B38" s="122" t="s">
        <v>297</v>
      </c>
      <c r="C38" s="66" t="s">
        <v>396</v>
      </c>
      <c r="D38" s="88" t="s">
        <v>6</v>
      </c>
    </row>
    <row r="39" spans="2:4" s="63" customFormat="1" ht="12" x14ac:dyDescent="0.2">
      <c r="B39" s="122"/>
      <c r="C39" s="66" t="s">
        <v>300</v>
      </c>
      <c r="D39" s="88" t="s">
        <v>6</v>
      </c>
    </row>
    <row r="40" spans="2:4" s="63" customFormat="1" ht="12" x14ac:dyDescent="0.2">
      <c r="B40" s="122"/>
      <c r="C40" s="66" t="s">
        <v>215</v>
      </c>
      <c r="D40" s="88" t="s">
        <v>6</v>
      </c>
    </row>
    <row r="41" spans="2:4" s="63" customFormat="1" ht="14.25" customHeight="1" x14ac:dyDescent="0.2">
      <c r="B41" s="122"/>
      <c r="C41" s="66" t="s">
        <v>217</v>
      </c>
      <c r="D41" s="88" t="s">
        <v>6</v>
      </c>
    </row>
    <row r="42" spans="2:4" s="63" customFormat="1" ht="14.25" customHeight="1" x14ac:dyDescent="0.2">
      <c r="B42" s="122"/>
      <c r="C42" s="66" t="s">
        <v>397</v>
      </c>
      <c r="D42" s="88" t="s">
        <v>6</v>
      </c>
    </row>
    <row r="43" spans="2:4" s="63" customFormat="1" ht="14.25" customHeight="1" x14ac:dyDescent="0.2">
      <c r="B43" s="122"/>
      <c r="C43" s="66" t="s">
        <v>220</v>
      </c>
      <c r="D43" s="88" t="s">
        <v>6</v>
      </c>
    </row>
    <row r="44" spans="2:4" s="63" customFormat="1" ht="14.25" customHeight="1" x14ac:dyDescent="0.2">
      <c r="B44" s="122"/>
      <c r="C44" s="66" t="s">
        <v>222</v>
      </c>
      <c r="D44" s="88" t="s">
        <v>6</v>
      </c>
    </row>
    <row r="45" spans="2:4" s="63" customFormat="1" ht="14.25" customHeight="1" x14ac:dyDescent="0.2">
      <c r="B45" s="122"/>
      <c r="C45" s="66" t="s">
        <v>224</v>
      </c>
      <c r="D45" s="88" t="s">
        <v>6</v>
      </c>
    </row>
    <row r="46" spans="2:4" s="63" customFormat="1" ht="14.25" customHeight="1" x14ac:dyDescent="0.2">
      <c r="B46" s="122"/>
      <c r="C46" s="66" t="s">
        <v>226</v>
      </c>
      <c r="D46" s="88" t="s">
        <v>6</v>
      </c>
    </row>
    <row r="47" spans="2:4" s="63" customFormat="1" ht="14.25" customHeight="1" x14ac:dyDescent="0.2">
      <c r="B47" s="122"/>
      <c r="C47" s="66" t="s">
        <v>228</v>
      </c>
      <c r="D47" s="88" t="s">
        <v>417</v>
      </c>
    </row>
    <row r="48" spans="2:4" s="63" customFormat="1" ht="14.25" customHeight="1" x14ac:dyDescent="0.2">
      <c r="B48" s="122"/>
      <c r="C48" s="66" t="s">
        <v>229</v>
      </c>
      <c r="D48" s="88" t="s">
        <v>417</v>
      </c>
    </row>
    <row r="49" spans="2:4" s="63" customFormat="1" ht="14.25" customHeight="1" x14ac:dyDescent="0.2">
      <c r="B49" s="122"/>
      <c r="C49" s="66" t="s">
        <v>231</v>
      </c>
      <c r="D49" s="88" t="s">
        <v>6</v>
      </c>
    </row>
    <row r="50" spans="2:4" s="63" customFormat="1" ht="14.25" customHeight="1" x14ac:dyDescent="0.2">
      <c r="B50" s="122"/>
      <c r="C50" s="66" t="s">
        <v>234</v>
      </c>
      <c r="D50" s="88" t="s">
        <v>417</v>
      </c>
    </row>
    <row r="51" spans="2:4" s="63" customFormat="1" ht="14.25" customHeight="1" x14ac:dyDescent="0.2">
      <c r="B51" s="122"/>
      <c r="C51" s="66" t="s">
        <v>398</v>
      </c>
      <c r="D51" s="88" t="s">
        <v>6</v>
      </c>
    </row>
    <row r="52" spans="2:4" s="63" customFormat="1" ht="14.25" customHeight="1" x14ac:dyDescent="0.2">
      <c r="B52" s="122"/>
      <c r="C52" s="66" t="s">
        <v>399</v>
      </c>
      <c r="D52" s="88" t="s">
        <v>6</v>
      </c>
    </row>
    <row r="53" spans="2:4" s="63" customFormat="1" ht="14.25" customHeight="1" x14ac:dyDescent="0.2">
      <c r="B53" s="122"/>
      <c r="C53" s="66" t="s">
        <v>298</v>
      </c>
      <c r="D53" s="88" t="s">
        <v>417</v>
      </c>
    </row>
    <row r="54" spans="2:4" s="63" customFormat="1" ht="14.25" customHeight="1" x14ac:dyDescent="0.2">
      <c r="B54" s="122"/>
      <c r="C54" s="66" t="s">
        <v>400</v>
      </c>
      <c r="D54" s="88" t="s">
        <v>6</v>
      </c>
    </row>
    <row r="55" spans="2:4" s="63" customFormat="1" ht="14.25" customHeight="1" x14ac:dyDescent="0.2">
      <c r="B55" s="122"/>
      <c r="C55" s="66" t="s">
        <v>240</v>
      </c>
      <c r="D55" s="88" t="s">
        <v>6</v>
      </c>
    </row>
    <row r="56" spans="2:4" s="63" customFormat="1" ht="14.25" customHeight="1" x14ac:dyDescent="0.2">
      <c r="B56" s="122"/>
      <c r="C56" s="66" t="s">
        <v>242</v>
      </c>
      <c r="D56" s="88" t="s">
        <v>417</v>
      </c>
    </row>
    <row r="57" spans="2:4" s="63" customFormat="1" ht="14.25" customHeight="1" x14ac:dyDescent="0.2">
      <c r="B57" s="122"/>
      <c r="C57" s="66" t="s">
        <v>299</v>
      </c>
      <c r="D57" s="88" t="s">
        <v>417</v>
      </c>
    </row>
    <row r="58" spans="2:4" s="63" customFormat="1" ht="14.25" customHeight="1" x14ac:dyDescent="0.2">
      <c r="B58" s="122"/>
      <c r="C58" s="66" t="s">
        <v>243</v>
      </c>
      <c r="D58" s="88" t="s">
        <v>6</v>
      </c>
    </row>
    <row r="59" spans="2:4" s="63" customFormat="1" ht="14.25" customHeight="1" x14ac:dyDescent="0.2">
      <c r="B59" s="122"/>
      <c r="C59" s="66" t="s">
        <v>245</v>
      </c>
      <c r="D59" s="88" t="s">
        <v>417</v>
      </c>
    </row>
    <row r="60" spans="2:4" s="63" customFormat="1" ht="14.25" customHeight="1" x14ac:dyDescent="0.2">
      <c r="B60" s="122"/>
      <c r="C60" s="66" t="s">
        <v>247</v>
      </c>
      <c r="D60" s="88" t="s">
        <v>6</v>
      </c>
    </row>
    <row r="61" spans="2:4" s="63" customFormat="1" ht="14.25" customHeight="1" x14ac:dyDescent="0.2">
      <c r="B61" s="122"/>
      <c r="C61" s="66" t="s">
        <v>249</v>
      </c>
      <c r="D61" s="88" t="s">
        <v>6</v>
      </c>
    </row>
    <row r="62" spans="2:4" s="63" customFormat="1" ht="14.25" customHeight="1" x14ac:dyDescent="0.2">
      <c r="B62" s="122"/>
      <c r="C62" s="66" t="s">
        <v>251</v>
      </c>
      <c r="D62" s="88" t="s">
        <v>419</v>
      </c>
    </row>
    <row r="63" spans="2:4" s="63" customFormat="1" ht="14.25" customHeight="1" x14ac:dyDescent="0.2">
      <c r="B63" s="122"/>
      <c r="C63" s="67" t="s">
        <v>401</v>
      </c>
      <c r="D63" s="88" t="s">
        <v>6</v>
      </c>
    </row>
    <row r="64" spans="2:4" s="63" customFormat="1" ht="3.75" customHeight="1" x14ac:dyDescent="0.2">
      <c r="B64" s="70"/>
      <c r="C64" s="79"/>
      <c r="D64" s="88"/>
    </row>
    <row r="65" spans="2:4" s="63" customFormat="1" ht="12" x14ac:dyDescent="0.2">
      <c r="B65" s="71"/>
      <c r="C65" s="65" t="s">
        <v>402</v>
      </c>
      <c r="D65" s="88"/>
    </row>
    <row r="66" spans="2:4" s="63" customFormat="1" ht="12" x14ac:dyDescent="0.2">
      <c r="B66" s="122" t="s">
        <v>402</v>
      </c>
      <c r="C66" s="66" t="s">
        <v>253</v>
      </c>
      <c r="D66" s="88" t="s">
        <v>416</v>
      </c>
    </row>
    <row r="67" spans="2:4" s="63" customFormat="1" ht="12" x14ac:dyDescent="0.2">
      <c r="B67" s="122"/>
      <c r="C67" s="66" t="s">
        <v>255</v>
      </c>
      <c r="D67" s="88" t="s">
        <v>417</v>
      </c>
    </row>
    <row r="68" spans="2:4" s="63" customFormat="1" ht="12" x14ac:dyDescent="0.2">
      <c r="B68" s="122"/>
      <c r="C68" s="66" t="s">
        <v>256</v>
      </c>
      <c r="D68" s="88" t="s">
        <v>6</v>
      </c>
    </row>
    <row r="69" spans="2:4" s="63" customFormat="1" ht="12" x14ac:dyDescent="0.2">
      <c r="B69" s="122"/>
      <c r="C69" s="67" t="s">
        <v>258</v>
      </c>
      <c r="D69" s="88" t="s">
        <v>6</v>
      </c>
    </row>
    <row r="70" spans="2:4" s="63" customFormat="1" ht="4.5" customHeight="1" x14ac:dyDescent="0.2">
      <c r="B70" s="70"/>
      <c r="C70" s="79"/>
      <c r="D70" s="88"/>
    </row>
    <row r="71" spans="2:4" s="63" customFormat="1" ht="12" x14ac:dyDescent="0.2">
      <c r="B71" s="71"/>
      <c r="C71" s="65" t="s">
        <v>316</v>
      </c>
      <c r="D71" s="88"/>
    </row>
    <row r="72" spans="2:4" s="63" customFormat="1" ht="12" x14ac:dyDescent="0.2">
      <c r="B72" s="122" t="s">
        <v>313</v>
      </c>
      <c r="C72" s="66" t="s">
        <v>260</v>
      </c>
      <c r="D72" s="88" t="s">
        <v>418</v>
      </c>
    </row>
    <row r="73" spans="2:4" s="63" customFormat="1" ht="12" x14ac:dyDescent="0.2">
      <c r="B73" s="122"/>
      <c r="C73" s="66" t="s">
        <v>261</v>
      </c>
      <c r="D73" s="88" t="s">
        <v>418</v>
      </c>
    </row>
    <row r="74" spans="2:4" s="63" customFormat="1" ht="12" x14ac:dyDescent="0.2">
      <c r="B74" s="122"/>
      <c r="C74" s="66" t="s">
        <v>262</v>
      </c>
      <c r="D74" s="88" t="s">
        <v>418</v>
      </c>
    </row>
    <row r="75" spans="2:4" s="63" customFormat="1" ht="12" x14ac:dyDescent="0.2">
      <c r="B75" s="122"/>
      <c r="C75" s="67" t="s">
        <v>264</v>
      </c>
      <c r="D75" s="88" t="s">
        <v>417</v>
      </c>
    </row>
  </sheetData>
  <mergeCells count="11">
    <mergeCell ref="B72:B75"/>
    <mergeCell ref="B38:B63"/>
    <mergeCell ref="B7:B12"/>
    <mergeCell ref="B15:B20"/>
    <mergeCell ref="B23:B30"/>
    <mergeCell ref="B33:B35"/>
    <mergeCell ref="B4:C4"/>
    <mergeCell ref="B2:C2"/>
    <mergeCell ref="B66:B69"/>
    <mergeCell ref="B3:D3"/>
    <mergeCell ref="B1:D1"/>
  </mergeCells>
  <pageMargins left="0.7" right="0.7" top="0.75" bottom="0.75" header="0.3" footer="0.3"/>
  <drawing r:id="rId1"/>
  <legacyDrawing r:id="rId2"/>
  <tableParts count="7">
    <tablePart r:id="rId3"/>
    <tablePart r:id="rId4"/>
    <tablePart r:id="rId5"/>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20570-7647-42CE-A91F-5C9DADAD2C6D}">
  <dimension ref="B1:C98"/>
  <sheetViews>
    <sheetView topLeftCell="A64" zoomScale="80" zoomScaleNormal="80" workbookViewId="0">
      <selection activeCell="B1" sqref="B1:C1"/>
    </sheetView>
  </sheetViews>
  <sheetFormatPr baseColWidth="10" defaultRowHeight="12.75" x14ac:dyDescent="0.2"/>
  <cols>
    <col min="1" max="1" width="7.5703125" customWidth="1"/>
    <col min="2" max="2" width="44.5703125" customWidth="1"/>
    <col min="3" max="3" width="70.7109375" customWidth="1"/>
    <col min="4" max="4" width="5.28515625" customWidth="1"/>
  </cols>
  <sheetData>
    <row r="1" spans="2:3" ht="50.25" customHeight="1" x14ac:dyDescent="0.2">
      <c r="B1" s="127" t="s">
        <v>286</v>
      </c>
      <c r="C1" s="127"/>
    </row>
    <row r="2" spans="2:3" ht="4.5" customHeight="1" x14ac:dyDescent="0.2">
      <c r="B2" s="121"/>
      <c r="C2" s="121"/>
    </row>
    <row r="3" spans="2:3" ht="37.5" customHeight="1" x14ac:dyDescent="0.2">
      <c r="B3" s="117" t="s">
        <v>358</v>
      </c>
      <c r="C3" s="117"/>
    </row>
    <row r="4" spans="2:3" ht="5.25" customHeight="1" x14ac:dyDescent="0.2">
      <c r="B4" s="128"/>
      <c r="C4" s="128"/>
    </row>
    <row r="5" spans="2:3" s="63" customFormat="1" ht="12" x14ac:dyDescent="0.2">
      <c r="B5" s="61" t="s">
        <v>287</v>
      </c>
      <c r="C5" s="62" t="s">
        <v>301</v>
      </c>
    </row>
    <row r="6" spans="2:3" s="63" customFormat="1" ht="12" x14ac:dyDescent="0.2">
      <c r="B6" s="72"/>
      <c r="C6" s="73" t="s">
        <v>8</v>
      </c>
    </row>
    <row r="7" spans="2:3" s="63" customFormat="1" ht="12" x14ac:dyDescent="0.2">
      <c r="B7" s="126" t="s">
        <v>8</v>
      </c>
      <c r="C7" s="66" t="s">
        <v>178</v>
      </c>
    </row>
    <row r="8" spans="2:3" s="63" customFormat="1" ht="12" x14ac:dyDescent="0.2">
      <c r="B8" s="126"/>
      <c r="C8" s="66" t="s">
        <v>403</v>
      </c>
    </row>
    <row r="9" spans="2:3" s="63" customFormat="1" ht="12" x14ac:dyDescent="0.2">
      <c r="B9" s="126"/>
      <c r="C9" s="66" t="s">
        <v>179</v>
      </c>
    </row>
    <row r="10" spans="2:3" s="63" customFormat="1" ht="12" x14ac:dyDescent="0.2">
      <c r="B10" s="126"/>
      <c r="C10" s="66" t="s">
        <v>182</v>
      </c>
    </row>
    <row r="11" spans="2:3" s="63" customFormat="1" ht="12" x14ac:dyDescent="0.2">
      <c r="B11" s="126"/>
      <c r="C11" s="66" t="s">
        <v>404</v>
      </c>
    </row>
    <row r="12" spans="2:3" s="63" customFormat="1" ht="12" x14ac:dyDescent="0.2">
      <c r="B12" s="126"/>
      <c r="C12" s="66" t="s">
        <v>184</v>
      </c>
    </row>
    <row r="13" spans="2:3" s="63" customFormat="1" ht="12" x14ac:dyDescent="0.2">
      <c r="B13" s="126"/>
      <c r="C13" s="66" t="s">
        <v>186</v>
      </c>
    </row>
    <row r="14" spans="2:3" s="63" customFormat="1" ht="12" x14ac:dyDescent="0.2">
      <c r="B14" s="126"/>
      <c r="C14" s="66" t="s">
        <v>188</v>
      </c>
    </row>
    <row r="15" spans="2:3" s="63" customFormat="1" ht="12" x14ac:dyDescent="0.2">
      <c r="B15" s="126"/>
      <c r="C15" s="66" t="s">
        <v>189</v>
      </c>
    </row>
    <row r="16" spans="2:3" s="63" customFormat="1" ht="12" x14ac:dyDescent="0.2">
      <c r="B16" s="126"/>
      <c r="C16" s="67" t="s">
        <v>191</v>
      </c>
    </row>
    <row r="17" spans="2:3" s="63" customFormat="1" ht="12" x14ac:dyDescent="0.2">
      <c r="B17" s="74"/>
      <c r="C17" s="75"/>
    </row>
    <row r="18" spans="2:3" s="63" customFormat="1" ht="12" x14ac:dyDescent="0.2">
      <c r="B18" s="76"/>
      <c r="C18" s="77" t="s">
        <v>9</v>
      </c>
    </row>
    <row r="19" spans="2:3" s="63" customFormat="1" ht="12.75" customHeight="1" x14ac:dyDescent="0.2">
      <c r="B19" s="126" t="s">
        <v>9</v>
      </c>
      <c r="C19" s="78" t="s">
        <v>193</v>
      </c>
    </row>
    <row r="20" spans="2:3" s="63" customFormat="1" ht="12.75" customHeight="1" x14ac:dyDescent="0.2">
      <c r="B20" s="126"/>
      <c r="C20" s="66" t="s">
        <v>194</v>
      </c>
    </row>
    <row r="21" spans="2:3" s="63" customFormat="1" ht="12.75" customHeight="1" x14ac:dyDescent="0.2">
      <c r="B21" s="126"/>
      <c r="C21" s="78" t="s">
        <v>196</v>
      </c>
    </row>
    <row r="22" spans="2:3" s="63" customFormat="1" ht="12.75" customHeight="1" x14ac:dyDescent="0.2">
      <c r="B22" s="126"/>
      <c r="C22" s="66" t="s">
        <v>197</v>
      </c>
    </row>
    <row r="23" spans="2:3" s="63" customFormat="1" ht="12.75" customHeight="1" x14ac:dyDescent="0.2">
      <c r="B23" s="126"/>
      <c r="C23" s="78" t="s">
        <v>199</v>
      </c>
    </row>
    <row r="24" spans="2:3" s="63" customFormat="1" ht="12.75" customHeight="1" x14ac:dyDescent="0.2">
      <c r="B24" s="126"/>
      <c r="C24" s="66" t="s">
        <v>201</v>
      </c>
    </row>
    <row r="25" spans="2:3" s="63" customFormat="1" ht="12.75" customHeight="1" x14ac:dyDescent="0.2">
      <c r="B25" s="126"/>
      <c r="C25" s="78" t="s">
        <v>203</v>
      </c>
    </row>
    <row r="26" spans="2:3" s="63" customFormat="1" ht="12.75" customHeight="1" x14ac:dyDescent="0.2">
      <c r="B26" s="126"/>
      <c r="C26" s="66" t="s">
        <v>302</v>
      </c>
    </row>
    <row r="27" spans="2:3" s="63" customFormat="1" ht="12" x14ac:dyDescent="0.2">
      <c r="B27" s="126"/>
      <c r="C27" s="78" t="s">
        <v>303</v>
      </c>
    </row>
    <row r="28" spans="2:3" s="63" customFormat="1" ht="12.75" customHeight="1" x14ac:dyDescent="0.2">
      <c r="B28" s="126"/>
      <c r="C28" s="66" t="s">
        <v>206</v>
      </c>
    </row>
    <row r="29" spans="2:3" s="63" customFormat="1" ht="12.75" customHeight="1" x14ac:dyDescent="0.2">
      <c r="B29" s="126"/>
      <c r="C29" s="78" t="s">
        <v>208</v>
      </c>
    </row>
    <row r="30" spans="2:3" s="63" customFormat="1" ht="12.75" customHeight="1" x14ac:dyDescent="0.2">
      <c r="B30" s="126"/>
      <c r="C30" s="66" t="s">
        <v>209</v>
      </c>
    </row>
    <row r="31" spans="2:3" s="63" customFormat="1" ht="26.25" customHeight="1" x14ac:dyDescent="0.2">
      <c r="B31" s="126"/>
      <c r="C31" s="66" t="s">
        <v>210</v>
      </c>
    </row>
    <row r="32" spans="2:3" s="63" customFormat="1" ht="12.75" customHeight="1" x14ac:dyDescent="0.2">
      <c r="B32" s="126"/>
      <c r="C32" s="66" t="s">
        <v>212</v>
      </c>
    </row>
    <row r="33" spans="2:3" s="63" customFormat="1" ht="12.75" customHeight="1" x14ac:dyDescent="0.2">
      <c r="B33" s="126"/>
      <c r="C33" s="66" t="s">
        <v>213</v>
      </c>
    </row>
    <row r="34" spans="2:3" s="63" customFormat="1" ht="12.75" customHeight="1" x14ac:dyDescent="0.2">
      <c r="B34" s="126"/>
      <c r="C34" s="66" t="s">
        <v>214</v>
      </c>
    </row>
    <row r="35" spans="2:3" s="63" customFormat="1" ht="12.75" customHeight="1" x14ac:dyDescent="0.2">
      <c r="B35" s="126"/>
      <c r="C35" s="66" t="s">
        <v>216</v>
      </c>
    </row>
    <row r="36" spans="2:3" s="63" customFormat="1" ht="12.75" customHeight="1" x14ac:dyDescent="0.2">
      <c r="B36" s="126"/>
      <c r="C36" s="66" t="s">
        <v>218</v>
      </c>
    </row>
    <row r="37" spans="2:3" s="63" customFormat="1" ht="12.75" customHeight="1" x14ac:dyDescent="0.2">
      <c r="B37" s="126"/>
      <c r="C37" s="66" t="s">
        <v>219</v>
      </c>
    </row>
    <row r="38" spans="2:3" s="63" customFormat="1" ht="12.75" customHeight="1" x14ac:dyDescent="0.2">
      <c r="B38" s="126"/>
      <c r="C38" s="66" t="s">
        <v>221</v>
      </c>
    </row>
    <row r="39" spans="2:3" s="63" customFormat="1" ht="14.25" customHeight="1" x14ac:dyDescent="0.2">
      <c r="B39" s="126"/>
      <c r="C39" s="66" t="s">
        <v>223</v>
      </c>
    </row>
    <row r="40" spans="2:3" s="63" customFormat="1" ht="12" x14ac:dyDescent="0.2">
      <c r="B40" s="126"/>
      <c r="C40" s="67" t="s">
        <v>225</v>
      </c>
    </row>
    <row r="41" spans="2:3" s="63" customFormat="1" ht="12" x14ac:dyDescent="0.2">
      <c r="B41" s="74"/>
      <c r="C41" s="75"/>
    </row>
    <row r="42" spans="2:3" s="63" customFormat="1" ht="12" x14ac:dyDescent="0.2">
      <c r="B42" s="76"/>
      <c r="C42" s="77" t="s">
        <v>304</v>
      </c>
    </row>
    <row r="43" spans="2:3" s="63" customFormat="1" ht="12" x14ac:dyDescent="0.2">
      <c r="B43" s="126" t="s">
        <v>304</v>
      </c>
      <c r="C43" s="78" t="s">
        <v>227</v>
      </c>
    </row>
    <row r="44" spans="2:3" s="63" customFormat="1" ht="12" x14ac:dyDescent="0.2">
      <c r="B44" s="126"/>
      <c r="C44" s="66" t="s">
        <v>405</v>
      </c>
    </row>
    <row r="45" spans="2:3" s="63" customFormat="1" ht="12" x14ac:dyDescent="0.2">
      <c r="B45" s="126"/>
      <c r="C45" s="78" t="s">
        <v>230</v>
      </c>
    </row>
    <row r="46" spans="2:3" s="63" customFormat="1" ht="12" x14ac:dyDescent="0.2">
      <c r="B46" s="126"/>
      <c r="C46" s="66" t="s">
        <v>232</v>
      </c>
    </row>
    <row r="47" spans="2:3" s="63" customFormat="1" ht="12" x14ac:dyDescent="0.2">
      <c r="B47" s="126"/>
      <c r="C47" s="78" t="s">
        <v>233</v>
      </c>
    </row>
    <row r="48" spans="2:3" s="63" customFormat="1" ht="12" x14ac:dyDescent="0.2">
      <c r="B48" s="126"/>
      <c r="C48" s="66" t="s">
        <v>235</v>
      </c>
    </row>
    <row r="49" spans="2:3" s="63" customFormat="1" ht="12" x14ac:dyDescent="0.2">
      <c r="B49" s="126"/>
      <c r="C49" s="78" t="s">
        <v>236</v>
      </c>
    </row>
    <row r="50" spans="2:3" s="63" customFormat="1" ht="12" x14ac:dyDescent="0.2">
      <c r="B50" s="126"/>
      <c r="C50" s="66" t="s">
        <v>237</v>
      </c>
    </row>
    <row r="51" spans="2:3" s="63" customFormat="1" ht="12" x14ac:dyDescent="0.2">
      <c r="B51" s="126"/>
      <c r="C51" s="78" t="s">
        <v>238</v>
      </c>
    </row>
    <row r="52" spans="2:3" s="63" customFormat="1" ht="12" x14ac:dyDescent="0.2">
      <c r="B52" s="126"/>
      <c r="C52" s="67" t="s">
        <v>239</v>
      </c>
    </row>
    <row r="53" spans="2:3" s="63" customFormat="1" ht="12" x14ac:dyDescent="0.2">
      <c r="B53" s="74"/>
      <c r="C53" s="75"/>
    </row>
    <row r="54" spans="2:3" s="63" customFormat="1" ht="12" x14ac:dyDescent="0.2">
      <c r="B54" s="76"/>
      <c r="C54" s="77" t="s">
        <v>283</v>
      </c>
    </row>
    <row r="55" spans="2:3" s="63" customFormat="1" ht="12" x14ac:dyDescent="0.2">
      <c r="B55" s="126" t="s">
        <v>283</v>
      </c>
      <c r="C55" s="78" t="s">
        <v>241</v>
      </c>
    </row>
    <row r="56" spans="2:3" s="63" customFormat="1" ht="12" x14ac:dyDescent="0.2">
      <c r="B56" s="126"/>
      <c r="C56" s="66" t="s">
        <v>305</v>
      </c>
    </row>
    <row r="57" spans="2:3" s="63" customFormat="1" ht="12" x14ac:dyDescent="0.2">
      <c r="B57" s="126"/>
      <c r="C57" s="78" t="s">
        <v>306</v>
      </c>
    </row>
    <row r="58" spans="2:3" s="63" customFormat="1" ht="12" x14ac:dyDescent="0.2">
      <c r="B58" s="126"/>
      <c r="C58" s="66" t="s">
        <v>244</v>
      </c>
    </row>
    <row r="59" spans="2:3" s="63" customFormat="1" ht="12" x14ac:dyDescent="0.2">
      <c r="B59" s="126"/>
      <c r="C59" s="78" t="s">
        <v>246</v>
      </c>
    </row>
    <row r="60" spans="2:3" s="63" customFormat="1" ht="12" x14ac:dyDescent="0.2">
      <c r="B60" s="126"/>
      <c r="C60" s="66" t="s">
        <v>248</v>
      </c>
    </row>
    <row r="61" spans="2:3" s="63" customFormat="1" ht="12" x14ac:dyDescent="0.2">
      <c r="B61" s="126"/>
      <c r="C61" s="78" t="s">
        <v>250</v>
      </c>
    </row>
    <row r="62" spans="2:3" s="63" customFormat="1" ht="24" x14ac:dyDescent="0.2">
      <c r="B62" s="126"/>
      <c r="C62" s="67" t="s">
        <v>252</v>
      </c>
    </row>
    <row r="63" spans="2:3" s="63" customFormat="1" ht="12" x14ac:dyDescent="0.2">
      <c r="B63" s="74"/>
      <c r="C63" s="75"/>
    </row>
    <row r="64" spans="2:3" s="63" customFormat="1" ht="12" x14ac:dyDescent="0.2">
      <c r="B64" s="76"/>
      <c r="C64" s="77" t="s">
        <v>307</v>
      </c>
    </row>
    <row r="65" spans="2:3" s="63" customFormat="1" ht="12" x14ac:dyDescent="0.2">
      <c r="B65" s="126" t="s">
        <v>307</v>
      </c>
      <c r="C65" s="78" t="s">
        <v>308</v>
      </c>
    </row>
    <row r="66" spans="2:3" s="63" customFormat="1" ht="12" x14ac:dyDescent="0.2">
      <c r="B66" s="126"/>
      <c r="C66" s="66" t="s">
        <v>309</v>
      </c>
    </row>
    <row r="67" spans="2:3" s="63" customFormat="1" ht="12" x14ac:dyDescent="0.2">
      <c r="B67" s="126"/>
      <c r="C67" s="78" t="s">
        <v>254</v>
      </c>
    </row>
    <row r="68" spans="2:3" s="63" customFormat="1" ht="12" x14ac:dyDescent="0.2">
      <c r="B68" s="126"/>
      <c r="C68" s="67" t="s">
        <v>406</v>
      </c>
    </row>
    <row r="69" spans="2:3" s="63" customFormat="1" ht="12" x14ac:dyDescent="0.2">
      <c r="B69" s="74"/>
      <c r="C69" s="75"/>
    </row>
    <row r="70" spans="2:3" s="63" customFormat="1" ht="12" x14ac:dyDescent="0.2">
      <c r="B70" s="76"/>
      <c r="C70" s="77" t="s">
        <v>310</v>
      </c>
    </row>
    <row r="71" spans="2:3" s="63" customFormat="1" ht="24" x14ac:dyDescent="0.2">
      <c r="B71" s="126" t="s">
        <v>310</v>
      </c>
      <c r="C71" s="78" t="s">
        <v>257</v>
      </c>
    </row>
    <row r="72" spans="2:3" s="63" customFormat="1" ht="24" x14ac:dyDescent="0.2">
      <c r="B72" s="126"/>
      <c r="C72" s="66" t="s">
        <v>259</v>
      </c>
    </row>
    <row r="73" spans="2:3" s="63" customFormat="1" ht="24" x14ac:dyDescent="0.2">
      <c r="B73" s="126"/>
      <c r="C73" s="78" t="s">
        <v>407</v>
      </c>
    </row>
    <row r="74" spans="2:3" s="63" customFormat="1" ht="30" customHeight="1" x14ac:dyDescent="0.2">
      <c r="B74" s="126"/>
      <c r="C74" s="66" t="s">
        <v>408</v>
      </c>
    </row>
    <row r="75" spans="2:3" s="63" customFormat="1" ht="12" x14ac:dyDescent="0.2">
      <c r="B75" s="126"/>
      <c r="C75" s="66" t="s">
        <v>263</v>
      </c>
    </row>
    <row r="76" spans="2:3" s="63" customFormat="1" ht="24" x14ac:dyDescent="0.2">
      <c r="B76" s="126"/>
      <c r="C76" s="66" t="s">
        <v>265</v>
      </c>
    </row>
    <row r="77" spans="2:3" s="63" customFormat="1" ht="24" x14ac:dyDescent="0.2">
      <c r="B77" s="126"/>
      <c r="C77" s="66" t="s">
        <v>311</v>
      </c>
    </row>
    <row r="78" spans="2:3" s="63" customFormat="1" ht="12" x14ac:dyDescent="0.2">
      <c r="B78" s="126"/>
      <c r="C78" s="66" t="s">
        <v>266</v>
      </c>
    </row>
    <row r="79" spans="2:3" s="63" customFormat="1" ht="12" x14ac:dyDescent="0.2">
      <c r="B79" s="126"/>
      <c r="C79" s="66" t="s">
        <v>267</v>
      </c>
    </row>
    <row r="80" spans="2:3" s="63" customFormat="1" ht="24" x14ac:dyDescent="0.2">
      <c r="B80" s="126"/>
      <c r="C80" s="66" t="s">
        <v>268</v>
      </c>
    </row>
    <row r="81" spans="2:3" s="63" customFormat="1" ht="24" x14ac:dyDescent="0.2">
      <c r="B81" s="126"/>
      <c r="C81" s="78" t="s">
        <v>269</v>
      </c>
    </row>
    <row r="82" spans="2:3" s="63" customFormat="1" ht="32.25" customHeight="1" x14ac:dyDescent="0.2">
      <c r="B82" s="126"/>
      <c r="C82" s="66" t="s">
        <v>270</v>
      </c>
    </row>
    <row r="83" spans="2:3" s="63" customFormat="1" ht="24" x14ac:dyDescent="0.2">
      <c r="B83" s="126"/>
      <c r="C83" s="78" t="s">
        <v>271</v>
      </c>
    </row>
    <row r="84" spans="2:3" s="63" customFormat="1" ht="12" x14ac:dyDescent="0.2">
      <c r="B84" s="126"/>
      <c r="C84" s="66" t="s">
        <v>312</v>
      </c>
    </row>
    <row r="85" spans="2:3" s="63" customFormat="1" ht="12" x14ac:dyDescent="0.2">
      <c r="B85" s="126"/>
      <c r="C85" s="66" t="s">
        <v>272</v>
      </c>
    </row>
    <row r="86" spans="2:3" s="63" customFormat="1" ht="12" x14ac:dyDescent="0.2">
      <c r="B86" s="126"/>
      <c r="C86" s="66" t="s">
        <v>409</v>
      </c>
    </row>
    <row r="87" spans="2:3" s="63" customFormat="1" ht="24" x14ac:dyDescent="0.2">
      <c r="B87" s="126"/>
      <c r="C87" s="66" t="s">
        <v>273</v>
      </c>
    </row>
    <row r="88" spans="2:3" s="63" customFormat="1" ht="24" x14ac:dyDescent="0.2">
      <c r="B88" s="126"/>
      <c r="C88" s="66" t="s">
        <v>274</v>
      </c>
    </row>
    <row r="89" spans="2:3" s="63" customFormat="1" ht="24" x14ac:dyDescent="0.2">
      <c r="B89" s="126"/>
      <c r="C89" s="66" t="s">
        <v>275</v>
      </c>
    </row>
    <row r="90" spans="2:3" s="63" customFormat="1" ht="24" x14ac:dyDescent="0.2">
      <c r="B90" s="126"/>
      <c r="C90" s="66" t="s">
        <v>410</v>
      </c>
    </row>
    <row r="91" spans="2:3" s="63" customFormat="1" ht="24" x14ac:dyDescent="0.2">
      <c r="B91" s="126"/>
      <c r="C91" s="66" t="s">
        <v>276</v>
      </c>
    </row>
    <row r="92" spans="2:3" s="63" customFormat="1" ht="24" x14ac:dyDescent="0.2">
      <c r="B92" s="126"/>
      <c r="C92" s="66" t="s">
        <v>277</v>
      </c>
    </row>
    <row r="93" spans="2:3" s="63" customFormat="1" ht="12" x14ac:dyDescent="0.2">
      <c r="B93" s="126"/>
      <c r="C93" s="66" t="s">
        <v>278</v>
      </c>
    </row>
    <row r="94" spans="2:3" s="63" customFormat="1" ht="19.5" customHeight="1" x14ac:dyDescent="0.2">
      <c r="B94" s="126"/>
      <c r="C94" s="66" t="s">
        <v>279</v>
      </c>
    </row>
    <row r="95" spans="2:3" s="63" customFormat="1" ht="24" x14ac:dyDescent="0.2">
      <c r="B95" s="126"/>
      <c r="C95" s="66" t="s">
        <v>411</v>
      </c>
    </row>
    <row r="96" spans="2:3" s="63" customFormat="1" ht="24" x14ac:dyDescent="0.2">
      <c r="B96" s="126"/>
      <c r="C96" s="66" t="s">
        <v>280</v>
      </c>
    </row>
    <row r="97" spans="2:3" s="63" customFormat="1" ht="24" x14ac:dyDescent="0.2">
      <c r="B97" s="126"/>
      <c r="C97" s="66" t="s">
        <v>281</v>
      </c>
    </row>
    <row r="98" spans="2:3" s="63" customFormat="1" ht="24" x14ac:dyDescent="0.2">
      <c r="B98" s="126"/>
      <c r="C98" s="67" t="s">
        <v>282</v>
      </c>
    </row>
  </sheetData>
  <mergeCells count="10">
    <mergeCell ref="B1:C1"/>
    <mergeCell ref="B2:C2"/>
    <mergeCell ref="B3:C3"/>
    <mergeCell ref="B4:C4"/>
    <mergeCell ref="B65:B68"/>
    <mergeCell ref="B71:B98"/>
    <mergeCell ref="B7:B16"/>
    <mergeCell ref="B19:B40"/>
    <mergeCell ref="B43:B52"/>
    <mergeCell ref="B55:B62"/>
  </mergeCells>
  <pageMargins left="0.7" right="0.7" top="0.75" bottom="0.75" header="0.3" footer="0.3"/>
  <drawing r:id="rId1"/>
  <tableParts count="6">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8</vt:i4>
      </vt:variant>
    </vt:vector>
  </HeadingPairs>
  <TitlesOfParts>
    <vt:vector size="17" baseType="lpstr">
      <vt:lpstr>Control de cambios</vt:lpstr>
      <vt:lpstr>Tablas de referencia</vt:lpstr>
      <vt:lpstr>Instructivo</vt:lpstr>
      <vt:lpstr>Evaluación de Riesgos</vt:lpstr>
      <vt:lpstr>Opc. Tratamiento Riesgo</vt:lpstr>
      <vt:lpstr>Valoración de Activos</vt:lpstr>
      <vt:lpstr>Análisis de Riesgos</vt:lpstr>
      <vt:lpstr>Catálogo Amenazas</vt:lpstr>
      <vt:lpstr>Catálogo Vulnerabilidades</vt:lpstr>
      <vt:lpstr>Hardware</vt:lpstr>
      <vt:lpstr>Organización</vt:lpstr>
      <vt:lpstr>Personal</vt:lpstr>
      <vt:lpstr>Red</vt:lpstr>
      <vt:lpstr>Sitio</vt:lpstr>
      <vt:lpstr>Software</vt:lpstr>
      <vt:lpstr>Tipo_Activo</vt:lpstr>
      <vt:lpstr>Tipo_Soporte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Formato matriz de riesgos</dc:title>
  <dc:creator>MINTEL</dc:creator>
  <cp:keywords>EGSI V3</cp:keywords>
  <cp:lastModifiedBy>User</cp:lastModifiedBy>
  <cp:lastPrinted>2019-04-29T16:23:50Z</cp:lastPrinted>
  <dcterms:created xsi:type="dcterms:W3CDTF">2005-12-18T12:34:24Z</dcterms:created>
  <dcterms:modified xsi:type="dcterms:W3CDTF">2026-05-28T20:20:47Z</dcterms:modified>
</cp:coreProperties>
</file>